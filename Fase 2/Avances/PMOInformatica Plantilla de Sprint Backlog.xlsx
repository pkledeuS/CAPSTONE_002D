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tGYl8CTYu0xp2KjcvXXpm8gIpHLreU42zY7YsFRkBSM="/>
    </ext>
  </extLst>
</workbook>
</file>

<file path=xl/sharedStrings.xml><?xml version="1.0" encoding="utf-8"?>
<sst xmlns="http://schemas.openxmlformats.org/spreadsheetml/2006/main" count="129" uniqueCount="79">
  <si>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</si>
  <si>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</si>
  <si>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</si>
  <si>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</si>
  <si>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</si>
  <si>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</si>
  <si>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</si>
  <si>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</si>
  <si>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</si>
  <si>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</si>
  <si>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</si>
  <si>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</si>
  <si>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</si>
  <si>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Total</t>
  </si>
  <si>
    <t>Identificador (ID) de item de product backlog</t>
  </si>
  <si>
    <t>Enunciado del item de Product Backlog</t>
  </si>
  <si>
    <t>Tarea</t>
  </si>
  <si>
    <t>Dueño / Voluntario</t>
  </si>
  <si>
    <t>Estatus</t>
  </si>
  <si>
    <t>Horas estimadas totales</t>
  </si>
  <si>
    <t>Cons.</t>
  </si>
  <si>
    <t>Rest.</t>
  </si>
  <si>
    <t>E1-H1</t>
  </si>
  <si>
    <t>Como un usuario principiante, necesito quiero ingresar mi presupuesto y el tipo de uso que le daré al PC (gaming ,diseño ,oficina), con la finalidad de recibir recomendación automatica de una configuración óptima.</t>
  </si>
  <si>
    <t>Diseñar formulario de ingreso de presupuesto y tipo de uso + implementar lógica de recomendación conectada a base de datos de componentes</t>
  </si>
  <si>
    <t>Carlos Saavedra</t>
  </si>
  <si>
    <t>En Proceso</t>
  </si>
  <si>
    <t>E1-H2</t>
  </si>
  <si>
    <t>Como un usuario recurrente, necesito ver recomendaciones basadas en mis busquedas anteriores, con la finalidad de que el sistema se adapte a mis preferencias.</t>
  </si>
  <si>
    <t>Implementar módulo de historial de búsquedas + lógica de recomendaciones personalizadas</t>
  </si>
  <si>
    <t>Cristian Nuñez</t>
  </si>
  <si>
    <t>Planificada</t>
  </si>
  <si>
    <t>E1-H3</t>
  </si>
  <si>
    <t>Como un usuario, necesito poder guardar productos o builds en favoritos, con la finalidad de tener un acceso rápido a ellos en el futuro.</t>
  </si>
  <si>
    <t>Crear sistema de guardado y gestión de favoritos + vincular con cuenta de usuario</t>
  </si>
  <si>
    <t>E1-H4</t>
  </si>
  <si>
    <t>Como un usuario, necesito aplicar filtros en los productos (precios, gama, uso), con la finalidad de ver solo los dispositivos que me interesan.</t>
  </si>
  <si>
    <t>Implementar sistema de filtros dinámicos en la vista de productos + conexión con base de datos</t>
  </si>
  <si>
    <t>E2-H1</t>
  </si>
  <si>
    <t>Como  un usuario, necesito crear un perfil en la plataforma, con la finalida de guardar mis preferencias y productos favoritos.</t>
  </si>
  <si>
    <t>Crear módulo de registro + validaciones</t>
  </si>
  <si>
    <t>E2-H2</t>
  </si>
  <si>
    <t>Como un usuario, necesito quiero iniciar en mi cuenta, con la finalidad de acceder a mis preferecias, mi historial y favoritos.</t>
  </si>
  <si>
    <t>Crear módulo de login + validaciones</t>
  </si>
  <si>
    <t>E2-H3</t>
  </si>
  <si>
    <t>Como un usuario, necesito editar mi perfil, con la finalidad de mantener mis datos actualizados.</t>
  </si>
  <si>
    <t>Diseñar formulario de edición de perfil + actualizar datos en base de datos</t>
  </si>
  <si>
    <t>E3-H1</t>
  </si>
  <si>
    <t xml:space="preserve">Como un usuario, necesito ver precios de distintos proveedores para un mismo componente, con la finalidad de elegir la opcion más conveniente. </t>
  </si>
  <si>
    <t>Implementar módulo comparador de precios + conexión con API o base de datos de proveedores</t>
  </si>
  <si>
    <t>E4-H1</t>
  </si>
  <si>
    <t>Como una tienda, necesito registrarme y pagar suscripción, con la finalidad de aparecer en la plataforma y promocionar mis productos.</t>
  </si>
  <si>
    <t>Desarrollar formulario de registro de tienda + integrar pasarela de pago</t>
  </si>
  <si>
    <t>E4-H2</t>
  </si>
  <si>
    <t>Como una tienda, necesito subir mis productos y servicios, con la finalidad de que los usuarios vean mi catálogo.</t>
  </si>
  <si>
    <t>Crear módulo de subida y edición de productos (CRUD completo)</t>
  </si>
  <si>
    <t>E4-H3</t>
  </si>
  <si>
    <t>Como una tienda, necesito ver estadisticas de vistas y productos más vistos, con la finalidad de analizar el interes de los usuarios.</t>
  </si>
  <si>
    <t>Implementar panel de estadísticas con métricas de visualización y productos más vistos</t>
  </si>
  <si>
    <t>E5-H1</t>
  </si>
  <si>
    <t>Como desarrollador, necesito implementar un sistema de web scraping para obtener precios actualizados de tiendas públicas, con la finalidad de mantener actualizados los datos de los productos en la plataforma.</t>
  </si>
  <si>
    <t>Desarrollar script de web scraping + programar actualización automática de precios</t>
  </si>
  <si>
    <t>E5-H2</t>
  </si>
  <si>
    <t>Como equipo, necesito realizar pruebas funcionales completas del sistema, con la finalidad de asegurar la calidad del producto y validar que todas las funcionalidades operen correctamente antes de la entrega final.</t>
  </si>
  <si>
    <t>Ejecutar pruebas funcionales e integración + documentar resultados de QA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</si>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</sst>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rgb="FFFFFFFF"/>
      <name val="Calibri"/>
    </font>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readingOrder="0" shrinkToFit="0" vertical="center" wrapText="1"/>
    </xf>
    <xf borderId="3" fillId="0" fontId="5" numFmtId="0" xfId="0" applyBorder="1" applyFont="1"/>
    <xf borderId="4" fillId="3" fontId="6"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3" fontId="6" numFmtId="0" xfId="0" applyAlignment="1" applyBorder="1" applyFont="1">
      <alignment horizontal="center" shrinkToFit="0" vertical="center" wrapText="1"/>
    </xf>
    <xf borderId="5" fillId="4" fontId="1" numFmtId="0" xfId="0" applyAlignment="1" applyBorder="1" applyFill="1" applyFont="1">
      <alignment shrinkToFit="0" vertical="top" wrapText="1"/>
    </xf>
    <xf borderId="5" fillId="2" fontId="1" numFmtId="0" xfId="0" applyAlignment="1" applyBorder="1" applyFont="1">
      <alignment horizontal="left" readingOrder="0"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readingOrder="0" shrinkToFit="0" vertical="top" wrapText="1"/>
    </xf>
    <xf borderId="5" fillId="5"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5" fillId="3" fontId="6"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8" t="s">
        <v>19</v>
      </c>
      <c r="H5" s="9" t="s">
        <v>20</v>
      </c>
      <c r="I5" s="9" t="s">
        <v>21</v>
      </c>
      <c r="J5" s="10"/>
      <c r="K5" s="9" t="s">
        <v>20</v>
      </c>
      <c r="L5" s="9" t="s">
        <v>21</v>
      </c>
      <c r="M5" s="10"/>
      <c r="N5" s="9" t="s">
        <v>20</v>
      </c>
      <c r="O5" s="9" t="s">
        <v>21</v>
      </c>
      <c r="P5" s="10"/>
      <c r="Q5" s="9" t="s">
        <v>20</v>
      </c>
      <c r="R5" s="9" t="s">
        <v>21</v>
      </c>
      <c r="S5" s="10"/>
      <c r="T5" s="9" t="s">
        <v>20</v>
      </c>
      <c r="U5" s="9" t="s">
        <v>21</v>
      </c>
      <c r="V5" s="10"/>
      <c r="W5" s="9" t="s">
        <v>20</v>
      </c>
      <c r="X5" s="9" t="s">
        <v>21</v>
      </c>
      <c r="Y5" s="10"/>
      <c r="Z5" s="9" t="s">
        <v>20</v>
      </c>
      <c r="AA5" s="9" t="s">
        <v>21</v>
      </c>
      <c r="AB5" s="10"/>
      <c r="AC5" s="9" t="s">
        <v>20</v>
      </c>
      <c r="AD5" s="9" t="s">
        <v>21</v>
      </c>
      <c r="AE5" s="10"/>
      <c r="AF5" s="9" t="s">
        <v>20</v>
      </c>
      <c r="AG5" s="9" t="s">
        <v>21</v>
      </c>
      <c r="AH5" s="10"/>
      <c r="AI5" s="9" t="s">
        <v>20</v>
      </c>
      <c r="AJ5" s="9" t="s">
        <v>21</v>
      </c>
      <c r="AK5" s="10"/>
      <c r="AL5" s="9" t="s">
        <v>20</v>
      </c>
      <c r="AM5" s="9" t="s">
        <v>21</v>
      </c>
    </row>
    <row r="6">
      <c r="A6" s="1"/>
      <c r="B6" s="11" t="s">
        <v>22</v>
      </c>
      <c r="C6" s="12" t="s">
        <v>23</v>
      </c>
      <c r="D6" s="13" t="s">
        <v>24</v>
      </c>
      <c r="E6" s="13" t="s">
        <v>25</v>
      </c>
      <c r="F6" s="11" t="s">
        <v>26</v>
      </c>
      <c r="G6" s="13">
        <v>12.0</v>
      </c>
      <c r="H6" s="14">
        <v>2.0</v>
      </c>
      <c r="I6" s="14">
        <f t="shared" ref="I6:I18" si="1">G6-H6</f>
        <v>10</v>
      </c>
      <c r="J6" s="15"/>
      <c r="K6" s="14">
        <v>1.0</v>
      </c>
      <c r="L6" s="14">
        <f t="shared" ref="L6:L18" si="2">I6-K6</f>
        <v>9</v>
      </c>
      <c r="M6" s="15"/>
      <c r="N6" s="14">
        <v>1.0</v>
      </c>
      <c r="O6" s="14">
        <f t="shared" ref="O6:O18" si="3">L6-N6</f>
        <v>8</v>
      </c>
      <c r="P6" s="15"/>
      <c r="Q6" s="14">
        <v>2.0</v>
      </c>
      <c r="R6" s="14">
        <f t="shared" ref="R6:R18" si="4">O6-Q6</f>
        <v>6</v>
      </c>
      <c r="S6" s="15"/>
      <c r="T6" s="14">
        <v>1.0</v>
      </c>
      <c r="U6" s="14">
        <f t="shared" ref="U6:U18" si="5">R6-T6</f>
        <v>5</v>
      </c>
      <c r="V6" s="15"/>
      <c r="W6" s="14">
        <v>1.0</v>
      </c>
      <c r="X6" s="14">
        <f t="shared" ref="X6:X18" si="6">U6-W6</f>
        <v>4</v>
      </c>
      <c r="Y6" s="15"/>
      <c r="Z6" s="14"/>
      <c r="AA6" s="14">
        <f t="shared" ref="AA6:AA18" si="7">X6-Z6</f>
        <v>4</v>
      </c>
      <c r="AB6" s="15"/>
      <c r="AC6" s="14"/>
      <c r="AD6" s="14">
        <f t="shared" ref="AD6:AD18" si="8">AA6-AC6</f>
        <v>4</v>
      </c>
      <c r="AE6" s="15"/>
      <c r="AF6" s="14"/>
      <c r="AG6" s="14">
        <f t="shared" ref="AG6:AG18" si="9">AD6-AF6</f>
        <v>4</v>
      </c>
      <c r="AH6" s="15"/>
      <c r="AI6" s="14"/>
      <c r="AJ6" s="14">
        <f t="shared" ref="AJ6:AJ18" si="10">AG6-AI6</f>
        <v>4</v>
      </c>
      <c r="AK6" s="15"/>
      <c r="AL6" s="16">
        <f t="shared" ref="AL6:AL18" si="11">SUM(H6,K6,N6,Q6,T6,W6,Z6,AC6,AF6,AI6)</f>
        <v>8</v>
      </c>
      <c r="AM6" s="16">
        <f t="shared" ref="AM6:AM18" si="12">G6-H6-K6-N6-Q6-T6-W6-Z6-AC6-AF6-AI6</f>
        <v>4</v>
      </c>
    </row>
    <row r="7">
      <c r="A7" s="1"/>
      <c r="B7" s="11" t="s">
        <v>27</v>
      </c>
      <c r="C7" s="12" t="s">
        <v>28</v>
      </c>
      <c r="D7" s="13" t="s">
        <v>29</v>
      </c>
      <c r="E7" s="13" t="s">
        <v>30</v>
      </c>
      <c r="F7" s="11" t="s">
        <v>31</v>
      </c>
      <c r="G7" s="13">
        <v>16.0</v>
      </c>
      <c r="H7" s="14"/>
      <c r="I7" s="14">
        <f t="shared" si="1"/>
        <v>16</v>
      </c>
      <c r="J7" s="15"/>
      <c r="K7" s="14"/>
      <c r="L7" s="14">
        <f t="shared" si="2"/>
        <v>16</v>
      </c>
      <c r="M7" s="15"/>
      <c r="N7" s="14"/>
      <c r="O7" s="14">
        <f t="shared" si="3"/>
        <v>16</v>
      </c>
      <c r="P7" s="15"/>
      <c r="Q7" s="14"/>
      <c r="R7" s="14">
        <f t="shared" si="4"/>
        <v>16</v>
      </c>
      <c r="S7" s="17"/>
      <c r="T7" s="14"/>
      <c r="U7" s="14">
        <f t="shared" si="5"/>
        <v>16</v>
      </c>
      <c r="V7" s="15"/>
      <c r="W7" s="14"/>
      <c r="X7" s="14">
        <f t="shared" si="6"/>
        <v>16</v>
      </c>
      <c r="Y7" s="15"/>
      <c r="Z7" s="14"/>
      <c r="AA7" s="14">
        <f t="shared" si="7"/>
        <v>16</v>
      </c>
      <c r="AB7" s="15"/>
      <c r="AC7" s="14"/>
      <c r="AD7" s="14">
        <f t="shared" si="8"/>
        <v>16</v>
      </c>
      <c r="AE7" s="15"/>
      <c r="AF7" s="14"/>
      <c r="AG7" s="14">
        <f t="shared" si="9"/>
        <v>16</v>
      </c>
      <c r="AH7" s="15"/>
      <c r="AI7" s="14"/>
      <c r="AJ7" s="14">
        <f t="shared" si="10"/>
        <v>16</v>
      </c>
      <c r="AK7" s="15"/>
      <c r="AL7" s="16">
        <f t="shared" si="11"/>
        <v>0</v>
      </c>
      <c r="AM7" s="16">
        <f t="shared" si="12"/>
        <v>16</v>
      </c>
    </row>
    <row r="8">
      <c r="A8" s="1"/>
      <c r="B8" s="11" t="s">
        <v>32</v>
      </c>
      <c r="C8" s="12" t="s">
        <v>33</v>
      </c>
      <c r="D8" s="13" t="s">
        <v>34</v>
      </c>
      <c r="E8" s="13" t="s">
        <v>25</v>
      </c>
      <c r="F8" s="11" t="s">
        <v>31</v>
      </c>
      <c r="G8" s="13">
        <v>15.0</v>
      </c>
      <c r="H8" s="14"/>
      <c r="I8" s="14">
        <f t="shared" si="1"/>
        <v>15</v>
      </c>
      <c r="J8" s="15"/>
      <c r="K8" s="14"/>
      <c r="L8" s="14">
        <f t="shared" si="2"/>
        <v>15</v>
      </c>
      <c r="M8" s="15"/>
      <c r="N8" s="14"/>
      <c r="O8" s="14">
        <f t="shared" si="3"/>
        <v>15</v>
      </c>
      <c r="P8" s="15"/>
      <c r="Q8" s="14"/>
      <c r="R8" s="14">
        <f t="shared" si="4"/>
        <v>15</v>
      </c>
      <c r="S8" s="15"/>
      <c r="T8" s="14"/>
      <c r="U8" s="14">
        <f t="shared" si="5"/>
        <v>15</v>
      </c>
      <c r="V8" s="15"/>
      <c r="W8" s="14"/>
      <c r="X8" s="14">
        <f t="shared" si="6"/>
        <v>15</v>
      </c>
      <c r="Y8" s="15"/>
      <c r="Z8" s="14"/>
      <c r="AA8" s="14">
        <f t="shared" si="7"/>
        <v>15</v>
      </c>
      <c r="AB8" s="15"/>
      <c r="AC8" s="14"/>
      <c r="AD8" s="14">
        <f t="shared" si="8"/>
        <v>15</v>
      </c>
      <c r="AE8" s="15"/>
      <c r="AF8" s="14"/>
      <c r="AG8" s="14">
        <f t="shared" si="9"/>
        <v>15</v>
      </c>
      <c r="AH8" s="15"/>
      <c r="AI8" s="14"/>
      <c r="AJ8" s="14">
        <f t="shared" si="10"/>
        <v>15</v>
      </c>
      <c r="AK8" s="15"/>
      <c r="AL8" s="16">
        <f t="shared" si="11"/>
        <v>0</v>
      </c>
      <c r="AM8" s="16">
        <f t="shared" si="12"/>
        <v>15</v>
      </c>
    </row>
    <row r="9">
      <c r="A9" s="1"/>
      <c r="B9" s="11" t="s">
        <v>35</v>
      </c>
      <c r="C9" s="12" t="s">
        <v>36</v>
      </c>
      <c r="D9" s="13" t="s">
        <v>37</v>
      </c>
      <c r="E9" s="13" t="s">
        <v>30</v>
      </c>
      <c r="F9" s="11" t="s">
        <v>31</v>
      </c>
      <c r="G9" s="13">
        <v>11.0</v>
      </c>
      <c r="H9" s="14"/>
      <c r="I9" s="14">
        <f t="shared" si="1"/>
        <v>11</v>
      </c>
      <c r="J9" s="15"/>
      <c r="K9" s="14"/>
      <c r="L9" s="14">
        <f t="shared" si="2"/>
        <v>11</v>
      </c>
      <c r="M9" s="15"/>
      <c r="N9" s="14"/>
      <c r="O9" s="14">
        <f t="shared" si="3"/>
        <v>11</v>
      </c>
      <c r="P9" s="15"/>
      <c r="Q9" s="14"/>
      <c r="R9" s="14">
        <f t="shared" si="4"/>
        <v>11</v>
      </c>
      <c r="S9" s="15"/>
      <c r="T9" s="14"/>
      <c r="U9" s="14">
        <f t="shared" si="5"/>
        <v>11</v>
      </c>
      <c r="V9" s="15"/>
      <c r="W9" s="14"/>
      <c r="X9" s="14">
        <f t="shared" si="6"/>
        <v>11</v>
      </c>
      <c r="Y9" s="15"/>
      <c r="Z9" s="14"/>
      <c r="AA9" s="14">
        <f t="shared" si="7"/>
        <v>11</v>
      </c>
      <c r="AB9" s="15"/>
      <c r="AC9" s="14"/>
      <c r="AD9" s="14">
        <f t="shared" si="8"/>
        <v>11</v>
      </c>
      <c r="AE9" s="15"/>
      <c r="AF9" s="14"/>
      <c r="AG9" s="14">
        <f t="shared" si="9"/>
        <v>11</v>
      </c>
      <c r="AH9" s="15"/>
      <c r="AI9" s="14"/>
      <c r="AJ9" s="14">
        <f t="shared" si="10"/>
        <v>11</v>
      </c>
      <c r="AK9" s="15"/>
      <c r="AL9" s="16">
        <f t="shared" si="11"/>
        <v>0</v>
      </c>
      <c r="AM9" s="16">
        <f t="shared" si="12"/>
        <v>11</v>
      </c>
    </row>
    <row r="10">
      <c r="A10" s="1"/>
      <c r="B10" s="11" t="s">
        <v>38</v>
      </c>
      <c r="C10" s="12" t="s">
        <v>39</v>
      </c>
      <c r="D10" s="13" t="s">
        <v>40</v>
      </c>
      <c r="E10" s="13" t="s">
        <v>25</v>
      </c>
      <c r="F10" s="11" t="s">
        <v>26</v>
      </c>
      <c r="G10" s="13">
        <v>16.0</v>
      </c>
      <c r="H10" s="14">
        <v>2.0</v>
      </c>
      <c r="I10" s="14">
        <f t="shared" si="1"/>
        <v>14</v>
      </c>
      <c r="J10" s="15"/>
      <c r="K10" s="14">
        <v>2.0</v>
      </c>
      <c r="L10" s="14">
        <f t="shared" si="2"/>
        <v>12</v>
      </c>
      <c r="M10" s="15"/>
      <c r="N10" s="14">
        <v>1.0</v>
      </c>
      <c r="O10" s="14">
        <f t="shared" si="3"/>
        <v>11</v>
      </c>
      <c r="P10" s="15"/>
      <c r="Q10" s="14">
        <v>1.0</v>
      </c>
      <c r="R10" s="14">
        <f t="shared" si="4"/>
        <v>10</v>
      </c>
      <c r="S10" s="15"/>
      <c r="T10" s="14">
        <v>1.0</v>
      </c>
      <c r="U10" s="14">
        <f t="shared" si="5"/>
        <v>9</v>
      </c>
      <c r="V10" s="15"/>
      <c r="W10" s="14">
        <v>1.0</v>
      </c>
      <c r="X10" s="14">
        <f t="shared" si="6"/>
        <v>8</v>
      </c>
      <c r="Y10" s="15"/>
      <c r="Z10" s="14">
        <v>1.0</v>
      </c>
      <c r="AA10" s="14">
        <f t="shared" si="7"/>
        <v>7</v>
      </c>
      <c r="AB10" s="15"/>
      <c r="AC10" s="14"/>
      <c r="AD10" s="14">
        <f t="shared" si="8"/>
        <v>7</v>
      </c>
      <c r="AE10" s="15"/>
      <c r="AF10" s="14"/>
      <c r="AG10" s="14">
        <f t="shared" si="9"/>
        <v>7</v>
      </c>
      <c r="AH10" s="15"/>
      <c r="AI10" s="14"/>
      <c r="AJ10" s="14">
        <f t="shared" si="10"/>
        <v>7</v>
      </c>
      <c r="AK10" s="15"/>
      <c r="AL10" s="16">
        <f t="shared" si="11"/>
        <v>9</v>
      </c>
      <c r="AM10" s="16">
        <f t="shared" si="12"/>
        <v>7</v>
      </c>
    </row>
    <row r="11">
      <c r="A11" s="1"/>
      <c r="B11" s="11" t="s">
        <v>41</v>
      </c>
      <c r="C11" s="12" t="s">
        <v>42</v>
      </c>
      <c r="D11" s="13" t="s">
        <v>43</v>
      </c>
      <c r="E11" s="13" t="s">
        <v>30</v>
      </c>
      <c r="F11" s="11" t="s">
        <v>26</v>
      </c>
      <c r="G11" s="13">
        <v>16.0</v>
      </c>
      <c r="H11" s="14">
        <v>2.0</v>
      </c>
      <c r="I11" s="14">
        <f t="shared" si="1"/>
        <v>14</v>
      </c>
      <c r="J11" s="15"/>
      <c r="K11" s="14">
        <v>2.0</v>
      </c>
      <c r="L11" s="14">
        <f t="shared" si="2"/>
        <v>12</v>
      </c>
      <c r="M11" s="15"/>
      <c r="N11" s="14">
        <v>1.0</v>
      </c>
      <c r="O11" s="14">
        <f t="shared" si="3"/>
        <v>11</v>
      </c>
      <c r="P11" s="15"/>
      <c r="Q11" s="14">
        <v>1.0</v>
      </c>
      <c r="R11" s="14">
        <f t="shared" si="4"/>
        <v>10</v>
      </c>
      <c r="S11" s="15"/>
      <c r="T11" s="14">
        <v>1.0</v>
      </c>
      <c r="U11" s="14">
        <f t="shared" si="5"/>
        <v>9</v>
      </c>
      <c r="V11" s="15"/>
      <c r="W11" s="14">
        <v>1.0</v>
      </c>
      <c r="X11" s="14">
        <f t="shared" si="6"/>
        <v>8</v>
      </c>
      <c r="Y11" s="15"/>
      <c r="Z11" s="14">
        <v>1.0</v>
      </c>
      <c r="AA11" s="14">
        <f t="shared" si="7"/>
        <v>7</v>
      </c>
      <c r="AB11" s="15"/>
      <c r="AC11" s="14"/>
      <c r="AD11" s="14">
        <f t="shared" si="8"/>
        <v>7</v>
      </c>
      <c r="AE11" s="15"/>
      <c r="AF11" s="14"/>
      <c r="AG11" s="14">
        <f t="shared" si="9"/>
        <v>7</v>
      </c>
      <c r="AH11" s="15"/>
      <c r="AI11" s="14"/>
      <c r="AJ11" s="14">
        <f t="shared" si="10"/>
        <v>7</v>
      </c>
      <c r="AK11" s="15"/>
      <c r="AL11" s="16">
        <f t="shared" si="11"/>
        <v>9</v>
      </c>
      <c r="AM11" s="16">
        <f t="shared" si="12"/>
        <v>7</v>
      </c>
    </row>
    <row r="12">
      <c r="A12" s="1"/>
      <c r="B12" s="11" t="s">
        <v>44</v>
      </c>
      <c r="C12" s="12" t="s">
        <v>45</v>
      </c>
      <c r="D12" s="13" t="s">
        <v>46</v>
      </c>
      <c r="E12" s="13" t="s">
        <v>25</v>
      </c>
      <c r="F12" s="11" t="s">
        <v>31</v>
      </c>
      <c r="G12" s="13">
        <v>10.0</v>
      </c>
      <c r="H12" s="18"/>
      <c r="I12" s="14">
        <f t="shared" si="1"/>
        <v>10</v>
      </c>
      <c r="J12" s="15"/>
      <c r="K12" s="18"/>
      <c r="L12" s="14">
        <f t="shared" si="2"/>
        <v>10</v>
      </c>
      <c r="M12" s="15"/>
      <c r="N12" s="18"/>
      <c r="O12" s="14">
        <f t="shared" si="3"/>
        <v>10</v>
      </c>
      <c r="P12" s="15"/>
      <c r="Q12" s="18"/>
      <c r="R12" s="14">
        <f t="shared" si="4"/>
        <v>10</v>
      </c>
      <c r="S12" s="15"/>
      <c r="T12" s="18"/>
      <c r="U12" s="14">
        <f t="shared" si="5"/>
        <v>10</v>
      </c>
      <c r="V12" s="15"/>
      <c r="W12" s="18"/>
      <c r="X12" s="14">
        <f t="shared" si="6"/>
        <v>10</v>
      </c>
      <c r="Y12" s="15"/>
      <c r="Z12" s="18"/>
      <c r="AA12" s="14">
        <f t="shared" si="7"/>
        <v>10</v>
      </c>
      <c r="AB12" s="15"/>
      <c r="AC12" s="18"/>
      <c r="AD12" s="14">
        <f t="shared" si="8"/>
        <v>10</v>
      </c>
      <c r="AE12" s="15"/>
      <c r="AF12" s="18"/>
      <c r="AG12" s="14">
        <f t="shared" si="9"/>
        <v>10</v>
      </c>
      <c r="AH12" s="15"/>
      <c r="AI12" s="18"/>
      <c r="AJ12" s="14">
        <f t="shared" si="10"/>
        <v>10</v>
      </c>
      <c r="AK12" s="15"/>
      <c r="AL12" s="16">
        <f t="shared" si="11"/>
        <v>0</v>
      </c>
      <c r="AM12" s="16">
        <f t="shared" si="12"/>
        <v>10</v>
      </c>
    </row>
    <row r="13">
      <c r="A13" s="1"/>
      <c r="B13" s="11" t="s">
        <v>47</v>
      </c>
      <c r="C13" s="12" t="s">
        <v>48</v>
      </c>
      <c r="D13" s="13" t="s">
        <v>49</v>
      </c>
      <c r="E13" s="13" t="s">
        <v>30</v>
      </c>
      <c r="F13" s="11" t="s">
        <v>31</v>
      </c>
      <c r="G13" s="13">
        <v>12.0</v>
      </c>
      <c r="H13" s="18"/>
      <c r="I13" s="14">
        <f t="shared" si="1"/>
        <v>12</v>
      </c>
      <c r="J13" s="15"/>
      <c r="K13" s="18"/>
      <c r="L13" s="14">
        <f t="shared" si="2"/>
        <v>12</v>
      </c>
      <c r="M13" s="15"/>
      <c r="N13" s="18"/>
      <c r="O13" s="14">
        <f t="shared" si="3"/>
        <v>12</v>
      </c>
      <c r="P13" s="15"/>
      <c r="Q13" s="18"/>
      <c r="R13" s="14">
        <f t="shared" si="4"/>
        <v>12</v>
      </c>
      <c r="S13" s="15"/>
      <c r="T13" s="18"/>
      <c r="U13" s="14">
        <f t="shared" si="5"/>
        <v>12</v>
      </c>
      <c r="V13" s="15"/>
      <c r="W13" s="18"/>
      <c r="X13" s="14">
        <f t="shared" si="6"/>
        <v>12</v>
      </c>
      <c r="Y13" s="15"/>
      <c r="Z13" s="18"/>
      <c r="AA13" s="14">
        <f t="shared" si="7"/>
        <v>12</v>
      </c>
      <c r="AB13" s="15"/>
      <c r="AC13" s="18"/>
      <c r="AD13" s="14">
        <f t="shared" si="8"/>
        <v>12</v>
      </c>
      <c r="AE13" s="15"/>
      <c r="AF13" s="18"/>
      <c r="AG13" s="14">
        <f t="shared" si="9"/>
        <v>12</v>
      </c>
      <c r="AH13" s="15"/>
      <c r="AI13" s="18"/>
      <c r="AJ13" s="14">
        <f t="shared" si="10"/>
        <v>12</v>
      </c>
      <c r="AK13" s="15"/>
      <c r="AL13" s="16">
        <f t="shared" si="11"/>
        <v>0</v>
      </c>
      <c r="AM13" s="16">
        <f t="shared" si="12"/>
        <v>12</v>
      </c>
    </row>
    <row r="14">
      <c r="A14" s="1"/>
      <c r="B14" s="11" t="s">
        <v>50</v>
      </c>
      <c r="C14" s="12" t="s">
        <v>51</v>
      </c>
      <c r="D14" s="13" t="s">
        <v>52</v>
      </c>
      <c r="E14" s="13" t="s">
        <v>25</v>
      </c>
      <c r="F14" s="11" t="s">
        <v>31</v>
      </c>
      <c r="G14" s="13">
        <v>16.0</v>
      </c>
      <c r="H14" s="18"/>
      <c r="I14" s="14">
        <f t="shared" si="1"/>
        <v>16</v>
      </c>
      <c r="J14" s="15"/>
      <c r="K14" s="18"/>
      <c r="L14" s="14">
        <f t="shared" si="2"/>
        <v>16</v>
      </c>
      <c r="M14" s="15"/>
      <c r="N14" s="18"/>
      <c r="O14" s="14">
        <f t="shared" si="3"/>
        <v>16</v>
      </c>
      <c r="P14" s="15"/>
      <c r="Q14" s="18"/>
      <c r="R14" s="14">
        <f t="shared" si="4"/>
        <v>16</v>
      </c>
      <c r="S14" s="15"/>
      <c r="T14" s="18"/>
      <c r="U14" s="14">
        <f t="shared" si="5"/>
        <v>16</v>
      </c>
      <c r="V14" s="15"/>
      <c r="W14" s="18"/>
      <c r="X14" s="14">
        <f t="shared" si="6"/>
        <v>16</v>
      </c>
      <c r="Y14" s="15"/>
      <c r="Z14" s="18"/>
      <c r="AA14" s="14">
        <f t="shared" si="7"/>
        <v>16</v>
      </c>
      <c r="AB14" s="15"/>
      <c r="AC14" s="18"/>
      <c r="AD14" s="14">
        <f t="shared" si="8"/>
        <v>16</v>
      </c>
      <c r="AE14" s="15"/>
      <c r="AF14" s="18"/>
      <c r="AG14" s="14">
        <f t="shared" si="9"/>
        <v>16</v>
      </c>
      <c r="AH14" s="15"/>
      <c r="AI14" s="18"/>
      <c r="AJ14" s="14">
        <f t="shared" si="10"/>
        <v>16</v>
      </c>
      <c r="AK14" s="15"/>
      <c r="AL14" s="16">
        <f t="shared" si="11"/>
        <v>0</v>
      </c>
      <c r="AM14" s="16">
        <f t="shared" si="12"/>
        <v>16</v>
      </c>
    </row>
    <row r="15">
      <c r="A15" s="1"/>
      <c r="B15" s="11" t="s">
        <v>53</v>
      </c>
      <c r="C15" s="12" t="s">
        <v>54</v>
      </c>
      <c r="D15" s="13" t="s">
        <v>55</v>
      </c>
      <c r="E15" s="13" t="s">
        <v>30</v>
      </c>
      <c r="F15" s="11" t="s">
        <v>31</v>
      </c>
      <c r="G15" s="13">
        <v>12.0</v>
      </c>
      <c r="H15" s="18"/>
      <c r="I15" s="14">
        <f t="shared" si="1"/>
        <v>12</v>
      </c>
      <c r="J15" s="15"/>
      <c r="K15" s="18"/>
      <c r="L15" s="14">
        <f t="shared" si="2"/>
        <v>12</v>
      </c>
      <c r="M15" s="15"/>
      <c r="N15" s="18"/>
      <c r="O15" s="14">
        <f t="shared" si="3"/>
        <v>12</v>
      </c>
      <c r="P15" s="15"/>
      <c r="Q15" s="18"/>
      <c r="R15" s="14">
        <f t="shared" si="4"/>
        <v>12</v>
      </c>
      <c r="S15" s="15"/>
      <c r="T15" s="18"/>
      <c r="U15" s="14">
        <f t="shared" si="5"/>
        <v>12</v>
      </c>
      <c r="V15" s="15"/>
      <c r="W15" s="18"/>
      <c r="X15" s="14">
        <f t="shared" si="6"/>
        <v>12</v>
      </c>
      <c r="Y15" s="15"/>
      <c r="Z15" s="18"/>
      <c r="AA15" s="14">
        <f t="shared" si="7"/>
        <v>12</v>
      </c>
      <c r="AB15" s="15"/>
      <c r="AC15" s="18"/>
      <c r="AD15" s="14">
        <f t="shared" si="8"/>
        <v>12</v>
      </c>
      <c r="AE15" s="15"/>
      <c r="AF15" s="18"/>
      <c r="AG15" s="14">
        <f t="shared" si="9"/>
        <v>12</v>
      </c>
      <c r="AH15" s="15"/>
      <c r="AI15" s="18"/>
      <c r="AJ15" s="14">
        <f t="shared" si="10"/>
        <v>12</v>
      </c>
      <c r="AK15" s="15"/>
      <c r="AL15" s="16">
        <f t="shared" si="11"/>
        <v>0</v>
      </c>
      <c r="AM15" s="16">
        <f t="shared" si="12"/>
        <v>12</v>
      </c>
    </row>
    <row r="16">
      <c r="A16" s="1"/>
      <c r="B16" s="11" t="s">
        <v>56</v>
      </c>
      <c r="C16" s="12" t="s">
        <v>57</v>
      </c>
      <c r="D16" s="13" t="s">
        <v>58</v>
      </c>
      <c r="E16" s="13" t="s">
        <v>25</v>
      </c>
      <c r="F16" s="11" t="s">
        <v>31</v>
      </c>
      <c r="G16" s="13">
        <v>14.0</v>
      </c>
      <c r="H16" s="18"/>
      <c r="I16" s="14">
        <f t="shared" si="1"/>
        <v>14</v>
      </c>
      <c r="J16" s="15"/>
      <c r="K16" s="18"/>
      <c r="L16" s="14">
        <f t="shared" si="2"/>
        <v>14</v>
      </c>
      <c r="M16" s="15"/>
      <c r="N16" s="18"/>
      <c r="O16" s="14">
        <f t="shared" si="3"/>
        <v>14</v>
      </c>
      <c r="P16" s="15"/>
      <c r="Q16" s="18"/>
      <c r="R16" s="14">
        <f t="shared" si="4"/>
        <v>14</v>
      </c>
      <c r="S16" s="15"/>
      <c r="T16" s="18"/>
      <c r="U16" s="14">
        <f t="shared" si="5"/>
        <v>14</v>
      </c>
      <c r="V16" s="15"/>
      <c r="W16" s="18"/>
      <c r="X16" s="14">
        <f t="shared" si="6"/>
        <v>14</v>
      </c>
      <c r="Y16" s="15"/>
      <c r="Z16" s="18"/>
      <c r="AA16" s="14">
        <f t="shared" si="7"/>
        <v>14</v>
      </c>
      <c r="AB16" s="15"/>
      <c r="AC16" s="18"/>
      <c r="AD16" s="14">
        <f t="shared" si="8"/>
        <v>14</v>
      </c>
      <c r="AE16" s="15"/>
      <c r="AF16" s="18"/>
      <c r="AG16" s="14">
        <f t="shared" si="9"/>
        <v>14</v>
      </c>
      <c r="AH16" s="15"/>
      <c r="AI16" s="18"/>
      <c r="AJ16" s="14">
        <f t="shared" si="10"/>
        <v>14</v>
      </c>
      <c r="AK16" s="15"/>
      <c r="AL16" s="16">
        <f t="shared" si="11"/>
        <v>0</v>
      </c>
      <c r="AM16" s="16">
        <f t="shared" si="12"/>
        <v>14</v>
      </c>
    </row>
    <row r="17">
      <c r="A17" s="1"/>
      <c r="B17" s="13" t="s">
        <v>59</v>
      </c>
      <c r="C17" s="12" t="s">
        <v>60</v>
      </c>
      <c r="D17" s="13" t="s">
        <v>61</v>
      </c>
      <c r="E17" s="13" t="s">
        <v>30</v>
      </c>
      <c r="F17" s="11" t="s">
        <v>31</v>
      </c>
      <c r="G17" s="13">
        <v>20.0</v>
      </c>
      <c r="H17" s="18"/>
      <c r="I17" s="14">
        <f t="shared" si="1"/>
        <v>20</v>
      </c>
      <c r="J17" s="15"/>
      <c r="K17" s="18"/>
      <c r="L17" s="14">
        <f t="shared" si="2"/>
        <v>20</v>
      </c>
      <c r="M17" s="15"/>
      <c r="N17" s="18"/>
      <c r="O17" s="14">
        <f t="shared" si="3"/>
        <v>20</v>
      </c>
      <c r="P17" s="15"/>
      <c r="Q17" s="18"/>
      <c r="R17" s="14">
        <f t="shared" si="4"/>
        <v>20</v>
      </c>
      <c r="S17" s="15"/>
      <c r="T17" s="18"/>
      <c r="U17" s="14">
        <f t="shared" si="5"/>
        <v>20</v>
      </c>
      <c r="V17" s="15"/>
      <c r="W17" s="18"/>
      <c r="X17" s="14">
        <f t="shared" si="6"/>
        <v>20</v>
      </c>
      <c r="Y17" s="15"/>
      <c r="Z17" s="18"/>
      <c r="AA17" s="14">
        <f t="shared" si="7"/>
        <v>20</v>
      </c>
      <c r="AB17" s="15"/>
      <c r="AC17" s="18"/>
      <c r="AD17" s="14">
        <f t="shared" si="8"/>
        <v>20</v>
      </c>
      <c r="AE17" s="15"/>
      <c r="AF17" s="18"/>
      <c r="AG17" s="14">
        <f t="shared" si="9"/>
        <v>20</v>
      </c>
      <c r="AH17" s="15"/>
      <c r="AI17" s="18"/>
      <c r="AJ17" s="14">
        <f t="shared" si="10"/>
        <v>20</v>
      </c>
      <c r="AK17" s="15"/>
      <c r="AL17" s="16">
        <f t="shared" si="11"/>
        <v>0</v>
      </c>
      <c r="AM17" s="16">
        <f t="shared" si="12"/>
        <v>20</v>
      </c>
    </row>
    <row r="18">
      <c r="A18" s="1"/>
      <c r="B18" s="13" t="s">
        <v>62</v>
      </c>
      <c r="C18" s="12" t="s">
        <v>63</v>
      </c>
      <c r="D18" s="13" t="s">
        <v>64</v>
      </c>
      <c r="E18" s="13" t="s">
        <v>25</v>
      </c>
      <c r="F18" s="11" t="s">
        <v>31</v>
      </c>
      <c r="G18" s="13">
        <v>10.0</v>
      </c>
      <c r="H18" s="18"/>
      <c r="I18" s="14">
        <f t="shared" si="1"/>
        <v>10</v>
      </c>
      <c r="J18" s="15"/>
      <c r="K18" s="18"/>
      <c r="L18" s="14">
        <f t="shared" si="2"/>
        <v>10</v>
      </c>
      <c r="M18" s="15"/>
      <c r="N18" s="18"/>
      <c r="O18" s="14">
        <f t="shared" si="3"/>
        <v>10</v>
      </c>
      <c r="P18" s="15"/>
      <c r="Q18" s="18"/>
      <c r="R18" s="14">
        <f t="shared" si="4"/>
        <v>10</v>
      </c>
      <c r="S18" s="15"/>
      <c r="T18" s="18"/>
      <c r="U18" s="14">
        <f t="shared" si="5"/>
        <v>10</v>
      </c>
      <c r="V18" s="15"/>
      <c r="W18" s="18"/>
      <c r="X18" s="14">
        <f t="shared" si="6"/>
        <v>10</v>
      </c>
      <c r="Y18" s="15"/>
      <c r="Z18" s="18"/>
      <c r="AA18" s="14">
        <f t="shared" si="7"/>
        <v>10</v>
      </c>
      <c r="AB18" s="15"/>
      <c r="AC18" s="18"/>
      <c r="AD18" s="14">
        <f t="shared" si="8"/>
        <v>10</v>
      </c>
      <c r="AE18" s="15"/>
      <c r="AF18" s="18"/>
      <c r="AG18" s="14">
        <f t="shared" si="9"/>
        <v>10</v>
      </c>
      <c r="AH18" s="15"/>
      <c r="AI18" s="18"/>
      <c r="AJ18" s="14">
        <f t="shared" si="10"/>
        <v>10</v>
      </c>
      <c r="AK18" s="15"/>
      <c r="AL18" s="16">
        <f t="shared" si="11"/>
        <v>0</v>
      </c>
      <c r="AM18" s="16">
        <f t="shared" si="12"/>
        <v>10</v>
      </c>
    </row>
    <row r="19">
      <c r="A19" s="1"/>
      <c r="B19" s="19"/>
      <c r="C19" s="19"/>
      <c r="D19" s="19"/>
      <c r="E19" s="20"/>
      <c r="F19" s="19"/>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row>
  </sheetData>
  <mergeCells count="11">
    <mergeCell ref="H4:I4"/>
    <mergeCell ref="K4:L4"/>
    <mergeCell ref="N4:O4"/>
    <mergeCell ref="Q4:R4"/>
    <mergeCell ref="T4:U4"/>
    <mergeCell ref="W4:X4"/>
    <mergeCell ref="Z4:AA4"/>
    <mergeCell ref="AC4:AD4"/>
    <mergeCell ref="AF4:AG4"/>
    <mergeCell ref="AI4:AJ4"/>
    <mergeCell ref="AL4:AM4"/>
  </mergeCells>
  <printOptions/>
  <pageMargins bottom="0.7480314960629921" footer="0.0" header="0.0" left="0.6299212598425197" right="0.6299212598425197" top="0.7480314960629921"/>
  <pageSetup orientation="landscape"/>
  <colBreaks count="3" manualBreakCount="3">
    <brk id="36" man="1"/>
    <brk id="21" man="1"/>
    <brk id="3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65</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1" t="s">
        <v>66</v>
      </c>
      <c r="C4" s="21" t="s">
        <v>67</v>
      </c>
      <c r="D4" s="1"/>
      <c r="E4" s="1"/>
      <c r="F4" s="1"/>
      <c r="G4" s="1"/>
      <c r="H4" s="1"/>
      <c r="I4" s="1"/>
      <c r="J4" s="1"/>
      <c r="K4" s="1"/>
      <c r="L4" s="1"/>
      <c r="M4" s="1"/>
      <c r="N4" s="1"/>
      <c r="O4" s="1"/>
      <c r="P4" s="1"/>
      <c r="Q4" s="1"/>
      <c r="R4" s="1"/>
      <c r="S4" s="1"/>
      <c r="T4" s="1"/>
      <c r="U4" s="1"/>
      <c r="V4" s="1"/>
      <c r="W4" s="1"/>
      <c r="X4" s="1"/>
      <c r="Y4" s="1"/>
      <c r="Z4" s="1"/>
    </row>
    <row r="5">
      <c r="A5" s="1"/>
      <c r="B5" s="22" t="str">
        <f>'Sprint Backlog'!B5</f>
        <v>Identificador (ID) de item de product backlog</v>
      </c>
      <c r="C5" s="22" t="s">
        <v>68</v>
      </c>
      <c r="D5" s="1"/>
      <c r="E5" s="1"/>
      <c r="F5" s="1"/>
      <c r="G5" s="1"/>
      <c r="H5" s="1"/>
      <c r="I5" s="1"/>
      <c r="J5" s="1"/>
      <c r="K5" s="1"/>
      <c r="L5" s="1"/>
      <c r="M5" s="1"/>
      <c r="N5" s="1"/>
      <c r="O5" s="1"/>
      <c r="P5" s="1"/>
      <c r="Q5" s="1"/>
      <c r="R5" s="1"/>
      <c r="S5" s="1"/>
      <c r="T5" s="1"/>
      <c r="U5" s="1"/>
      <c r="V5" s="1"/>
      <c r="W5" s="1"/>
      <c r="X5" s="1"/>
      <c r="Y5" s="1"/>
      <c r="Z5" s="1"/>
    </row>
    <row r="6">
      <c r="A6" s="1"/>
      <c r="B6" s="22" t="str">
        <f>'Sprint Backlog'!C5</f>
        <v>Enunciado del item de Product Backlog</v>
      </c>
      <c r="C6" s="22" t="s">
        <v>69</v>
      </c>
      <c r="D6" s="1"/>
      <c r="E6" s="1"/>
      <c r="F6" s="1"/>
      <c r="G6" s="1"/>
      <c r="H6" s="1"/>
      <c r="I6" s="1"/>
      <c r="J6" s="1"/>
      <c r="K6" s="1"/>
      <c r="L6" s="1"/>
      <c r="M6" s="1"/>
      <c r="N6" s="1"/>
      <c r="O6" s="1"/>
      <c r="P6" s="1"/>
      <c r="Q6" s="1"/>
      <c r="R6" s="1"/>
      <c r="S6" s="1"/>
      <c r="T6" s="1"/>
      <c r="U6" s="1"/>
      <c r="V6" s="1"/>
      <c r="W6" s="1"/>
      <c r="X6" s="1"/>
      <c r="Y6" s="1"/>
      <c r="Z6" s="1"/>
    </row>
    <row r="7">
      <c r="A7" s="1"/>
      <c r="B7" s="22" t="s">
        <v>16</v>
      </c>
      <c r="C7" s="22" t="s">
        <v>70</v>
      </c>
      <c r="D7" s="1"/>
      <c r="E7" s="1"/>
      <c r="F7" s="1"/>
      <c r="G7" s="1"/>
      <c r="H7" s="1"/>
      <c r="I7" s="1"/>
      <c r="J7" s="1"/>
      <c r="K7" s="1"/>
      <c r="L7" s="1"/>
      <c r="M7" s="1"/>
      <c r="N7" s="1"/>
      <c r="O7" s="1"/>
      <c r="P7" s="1"/>
      <c r="Q7" s="1"/>
      <c r="R7" s="1"/>
      <c r="S7" s="1"/>
      <c r="T7" s="1"/>
      <c r="U7" s="1"/>
      <c r="V7" s="1"/>
      <c r="W7" s="1"/>
      <c r="X7" s="1"/>
      <c r="Y7" s="1"/>
      <c r="Z7" s="1"/>
    </row>
    <row r="8">
      <c r="A8" s="1"/>
      <c r="B8" s="22" t="s">
        <v>17</v>
      </c>
      <c r="C8" s="22" t="s">
        <v>71</v>
      </c>
      <c r="D8" s="1"/>
      <c r="E8" s="1"/>
      <c r="F8" s="1"/>
      <c r="G8" s="1"/>
      <c r="H8" s="1"/>
      <c r="I8" s="1"/>
      <c r="J8" s="1"/>
      <c r="K8" s="1"/>
      <c r="L8" s="1"/>
      <c r="M8" s="1"/>
      <c r="N8" s="1"/>
      <c r="O8" s="1"/>
      <c r="P8" s="1"/>
      <c r="Q8" s="1"/>
      <c r="R8" s="1"/>
      <c r="S8" s="1"/>
      <c r="T8" s="1"/>
      <c r="U8" s="1"/>
      <c r="V8" s="1"/>
      <c r="W8" s="1"/>
      <c r="X8" s="1"/>
      <c r="Y8" s="1"/>
      <c r="Z8" s="1"/>
    </row>
    <row r="9">
      <c r="A9" s="1"/>
      <c r="B9" s="22" t="s">
        <v>18</v>
      </c>
      <c r="C9" s="22" t="s">
        <v>72</v>
      </c>
      <c r="D9" s="1"/>
      <c r="E9" s="1"/>
      <c r="F9" s="1"/>
      <c r="G9" s="1"/>
      <c r="H9" s="1"/>
      <c r="I9" s="1"/>
      <c r="J9" s="1"/>
      <c r="K9" s="1"/>
      <c r="L9" s="1"/>
      <c r="M9" s="1"/>
      <c r="N9" s="1"/>
      <c r="O9" s="1"/>
      <c r="P9" s="1"/>
      <c r="Q9" s="1"/>
      <c r="R9" s="1"/>
      <c r="S9" s="1"/>
      <c r="T9" s="1"/>
      <c r="U9" s="1"/>
      <c r="V9" s="1"/>
      <c r="W9" s="1"/>
      <c r="X9" s="1"/>
      <c r="Y9" s="1"/>
      <c r="Z9" s="1"/>
    </row>
    <row r="10">
      <c r="A10" s="1"/>
      <c r="B10" s="22" t="s">
        <v>19</v>
      </c>
      <c r="C10" s="22" t="s">
        <v>73</v>
      </c>
      <c r="D10" s="1"/>
      <c r="E10" s="1"/>
      <c r="F10" s="1"/>
      <c r="G10" s="1"/>
      <c r="H10" s="1"/>
      <c r="I10" s="1"/>
      <c r="J10" s="1"/>
      <c r="K10" s="1"/>
      <c r="L10" s="1"/>
      <c r="M10" s="1"/>
      <c r="N10" s="1"/>
      <c r="O10" s="1"/>
      <c r="P10" s="1"/>
      <c r="Q10" s="1"/>
      <c r="R10" s="1"/>
      <c r="S10" s="1"/>
      <c r="T10" s="1"/>
      <c r="U10" s="1"/>
      <c r="V10" s="1"/>
      <c r="W10" s="1"/>
      <c r="X10" s="1"/>
      <c r="Y10" s="1"/>
      <c r="Z10" s="1"/>
    </row>
    <row r="11">
      <c r="A11" s="1"/>
      <c r="B11" s="22" t="s">
        <v>74</v>
      </c>
      <c r="C11" s="22" t="s">
        <v>75</v>
      </c>
      <c r="D11" s="1"/>
      <c r="E11" s="1"/>
      <c r="F11" s="1"/>
      <c r="G11" s="1"/>
      <c r="H11" s="1"/>
      <c r="I11" s="1"/>
      <c r="J11" s="1"/>
      <c r="K11" s="1"/>
      <c r="L11" s="1"/>
      <c r="M11" s="1"/>
      <c r="N11" s="1"/>
      <c r="O11" s="1"/>
      <c r="P11" s="1"/>
      <c r="Q11" s="1"/>
      <c r="R11" s="1"/>
      <c r="S11" s="1"/>
      <c r="T11" s="1"/>
      <c r="U11" s="1"/>
      <c r="V11" s="1"/>
      <c r="W11" s="1"/>
      <c r="X11" s="1"/>
      <c r="Y11" s="1"/>
      <c r="Z11" s="1"/>
    </row>
    <row r="12">
      <c r="A12" s="1"/>
      <c r="B12" s="22" t="s">
        <v>20</v>
      </c>
      <c r="C12" s="22" t="s">
        <v>76</v>
      </c>
      <c r="D12" s="1"/>
      <c r="E12" s="1"/>
      <c r="F12" s="1"/>
      <c r="G12" s="1"/>
      <c r="H12" s="1"/>
      <c r="I12" s="1"/>
      <c r="J12" s="1"/>
      <c r="K12" s="1"/>
      <c r="L12" s="1"/>
      <c r="M12" s="1"/>
      <c r="N12" s="1"/>
      <c r="O12" s="1"/>
      <c r="P12" s="1"/>
      <c r="Q12" s="1"/>
      <c r="R12" s="1"/>
      <c r="S12" s="1"/>
      <c r="T12" s="1"/>
      <c r="U12" s="1"/>
      <c r="V12" s="1"/>
      <c r="W12" s="1"/>
      <c r="X12" s="1"/>
      <c r="Y12" s="1"/>
      <c r="Z12" s="1"/>
    </row>
    <row r="13">
      <c r="A13" s="1"/>
      <c r="B13" s="22" t="s">
        <v>21</v>
      </c>
      <c r="C13" s="22" t="s">
        <v>77</v>
      </c>
      <c r="D13" s="1"/>
      <c r="E13" s="1"/>
      <c r="F13" s="1"/>
      <c r="G13" s="1"/>
      <c r="H13" s="1"/>
      <c r="I13" s="1"/>
      <c r="J13" s="1"/>
      <c r="K13" s="1"/>
      <c r="L13" s="1"/>
      <c r="M13" s="1"/>
      <c r="N13" s="1"/>
      <c r="O13" s="1"/>
      <c r="P13" s="1"/>
      <c r="Q13" s="1"/>
      <c r="R13" s="1"/>
      <c r="S13" s="1"/>
      <c r="T13" s="1"/>
      <c r="U13" s="1"/>
      <c r="V13" s="1"/>
      <c r="W13" s="1"/>
      <c r="X13" s="1"/>
      <c r="Y13" s="1"/>
      <c r="Z13" s="1"/>
    </row>
    <row r="14">
      <c r="A14" s="1"/>
      <c r="B14" s="22" t="s">
        <v>13</v>
      </c>
      <c r="C14" s="22" t="s">
        <v>78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