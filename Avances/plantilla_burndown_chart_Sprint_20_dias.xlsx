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  <sheet state="visible" name="Sprint 2" sheetId="2" r:id="rId5"/>
    <sheet state="visible" name="Sprint 3" sheetId="3" r:id="rId6"/>
    <sheet state="visible" name="Sprint 4" sheetId="4" r:id="rId7"/>
    <sheet state="visible" name="Sprint 5" sheetId="5" r:id="rId8"/>
  </sheets>
  <definedNames/>
  <calcPr/>
  <extLst>
    <ext uri="GoogleSheetsCustomDataVersion2">
      <go:sheetsCustomData xmlns:go="http://customooxmlschemas.google.com/" r:id="rId9" roundtripDataChecksum="LaAPMG5itvtU4wBDgKN9bNdMbGLL+8I7SNZQA/Mgs2w="/>
    </ext>
  </extLst>
</workbook>
</file>

<file path=xl/sharedStrings.xml><?xml version="1.0" encoding="utf-8"?>
<sst xmlns="http://schemas.openxmlformats.org/spreadsheetml/2006/main" count="96" uniqueCount="68">
  <si>
    <t>Control del Sprint 1 de 20 días</t>
  </si>
  <si>
    <t>Modifique la zona con color verde</t>
  </si>
  <si>
    <t xml:space="preserve">Tareas </t>
  </si>
  <si>
    <t>horas estimadas</t>
  </si>
  <si>
    <t>DIA</t>
  </si>
  <si>
    <t>Total</t>
  </si>
  <si>
    <t>H5-T1</t>
  </si>
  <si>
    <t>H5-T2</t>
  </si>
  <si>
    <t>H5-T3</t>
  </si>
  <si>
    <t>H5-T4</t>
  </si>
  <si>
    <t>H5-T5</t>
  </si>
  <si>
    <t>H6-T1</t>
  </si>
  <si>
    <t>H6-T2</t>
  </si>
  <si>
    <t>H6-T3</t>
  </si>
  <si>
    <t>Horas Reales de producto por realizar</t>
  </si>
  <si>
    <t>Horas Estimadas de producto por realizar</t>
  </si>
  <si>
    <t>Control del Sprint 2 de 20 días</t>
  </si>
  <si>
    <t>H9-T1</t>
  </si>
  <si>
    <t>H9-T2</t>
  </si>
  <si>
    <t>H9-T3</t>
  </si>
  <si>
    <t>H9-T4</t>
  </si>
  <si>
    <t>H10-T1</t>
  </si>
  <si>
    <t>H10-T2</t>
  </si>
  <si>
    <t>H10-T3</t>
  </si>
  <si>
    <t>H10-T4</t>
  </si>
  <si>
    <t>Control del Sprint 3 de 20 días</t>
  </si>
  <si>
    <t>H1-T1</t>
  </si>
  <si>
    <t>H1-T2</t>
  </si>
  <si>
    <t>H1-T3</t>
  </si>
  <si>
    <t>H1-T4</t>
  </si>
  <si>
    <t>H1-T5</t>
  </si>
  <si>
    <t>H4-T1</t>
  </si>
  <si>
    <t>H4-T2</t>
  </si>
  <si>
    <t>H4-T3</t>
  </si>
  <si>
    <t>H4-T4</t>
  </si>
  <si>
    <t>H8-T1</t>
  </si>
  <si>
    <t>H8-T2</t>
  </si>
  <si>
    <t>H8-T3</t>
  </si>
  <si>
    <t>H8-T4</t>
  </si>
  <si>
    <t>H8-T5</t>
  </si>
  <si>
    <t>Control del Sprint 4 de 20 días</t>
  </si>
  <si>
    <t>H2-T1</t>
  </si>
  <si>
    <t>H2-T2</t>
  </si>
  <si>
    <t>H2-T3</t>
  </si>
  <si>
    <t>H2-T4</t>
  </si>
  <si>
    <t>H2-T5</t>
  </si>
  <si>
    <t>H3-T1</t>
  </si>
  <si>
    <t>H3-T2</t>
  </si>
  <si>
    <t>H3-T3</t>
  </si>
  <si>
    <t>H3-T4</t>
  </si>
  <si>
    <t>H3-T5</t>
  </si>
  <si>
    <t>H7-T1</t>
  </si>
  <si>
    <t>H7-T2</t>
  </si>
  <si>
    <t>H7-T3</t>
  </si>
  <si>
    <t>H7-T4</t>
  </si>
  <si>
    <t>H11-T1</t>
  </si>
  <si>
    <t>H11-T2</t>
  </si>
  <si>
    <t>H11-T3</t>
  </si>
  <si>
    <t>Control del Sprint 5 de 20 días</t>
  </si>
  <si>
    <t>H12-T1</t>
  </si>
  <si>
    <t>H12-T2</t>
  </si>
  <si>
    <t>H12-T3</t>
  </si>
  <si>
    <t>H12-T4</t>
  </si>
  <si>
    <t>H12-T5</t>
  </si>
  <si>
    <t>H13-T1</t>
  </si>
  <si>
    <t>H13-T2</t>
  </si>
  <si>
    <t>H13-T3</t>
  </si>
  <si>
    <t>H13-T4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</si>
</sst>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6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sz val="11.0"/>
      <color theme="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2" fontId="2" numFmtId="0" xfId="0" applyBorder="1" applyFont="1"/>
    <xf borderId="7" fillId="0" fontId="3" numFmtId="0" xfId="0" applyBorder="1" applyFont="1"/>
    <xf borderId="8" fillId="3" fontId="2" numFmtId="0" xfId="0" applyAlignment="1" applyBorder="1" applyFill="1" applyFont="1">
      <alignment readingOrder="0"/>
    </xf>
    <xf borderId="9" fillId="3" fontId="2" numFmtId="0" xfId="0" applyAlignment="1" applyBorder="1" applyFont="1">
      <alignment horizontal="center" readingOrder="0" shrinkToFit="0" wrapText="1"/>
    </xf>
    <xf borderId="8" fillId="3" fontId="2" numFmtId="0" xfId="0" applyBorder="1" applyFont="1"/>
    <xf borderId="1" fillId="0" fontId="2" numFmtId="0" xfId="0" applyBorder="1" applyFont="1"/>
    <xf borderId="7" fillId="0" fontId="2" numFmtId="0" xfId="0" applyBorder="1" applyFont="1"/>
    <xf borderId="8" fillId="3" fontId="4" numFmtId="0" xfId="0" applyBorder="1" applyFont="1"/>
    <xf borderId="9" fillId="3" fontId="2" numFmtId="0" xfId="0" applyAlignment="1" applyBorder="1" applyFont="1">
      <alignment horizontal="center" shrinkToFit="0" wrapText="1"/>
    </xf>
    <xf borderId="5" fillId="0" fontId="2" numFmtId="0" xfId="0" applyBorder="1" applyFont="1"/>
    <xf borderId="0" fillId="0" fontId="5" numFmtId="0" xfId="0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1'!$C$5:$V$5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1'!$C$6:$V$6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1'!$C$7:$V$7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1'!$C$8:$V$8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1'!$C$9:$V$9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1'!$C$10:$V$10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1'!$C$11:$V$11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1'!$C$12:$V$12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1'!$C$5:$V$5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1'!$C$6:$V$6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1'!$C$7:$V$7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1'!$C$8:$V$8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1'!$C$9:$V$9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1'!$C$10:$V$10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1'!$C$11:$V$11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1'!$C$12:$V$12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1'!$C$6:$V$6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1'!$C$7:$V$7</c:f>
              <c:numCache/>
            </c:numRef>
          </c:val>
          <c:smooth val="0"/>
        </c:ser>
        <c:ser>
          <c:idx val="18"/>
          <c:order val="18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1'!$C$8:$V$8</c:f>
              <c:numCache/>
            </c:numRef>
          </c:val>
          <c:smooth val="0"/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1'!$C$9:$V$9</c:f>
              <c:numCache/>
            </c:numRef>
          </c:val>
          <c:smooth val="0"/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1'!$C$10:$V$10</c:f>
              <c:numCache/>
            </c:numRef>
          </c:val>
          <c:smooth val="0"/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1'!$C$11:$V$11</c:f>
              <c:numCache/>
            </c:numRef>
          </c:val>
          <c:smooth val="0"/>
        </c:ser>
        <c:ser>
          <c:idx val="22"/>
          <c:order val="22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1'!$C$12:$V$12</c:f>
              <c:numCache/>
            </c:numRef>
          </c:val>
          <c:smooth val="0"/>
        </c:ser>
        <c:axId val="856122701"/>
        <c:axId val="579447153"/>
      </c:lineChart>
      <c:catAx>
        <c:axId val="856122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9447153"/>
      </c:catAx>
      <c:valAx>
        <c:axId val="579447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5612270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2'!$C$5:$V$5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2'!$C$6:$V$6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2'!$C$7:$V$7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2'!$C$8:$V$8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2'!$C$9:$V$9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2'!$C$10:$V$10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2'!$C$11:$V$11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2'!$C$12:$V$12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2'!$C$5:$V$5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2'!$C$6:$V$6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2'!$C$7:$V$7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2'!$C$8:$V$8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2'!$C$9:$V$9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2'!$C$10:$V$10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2'!$C$11:$V$11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2'!$C$12:$V$12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2'!$C$6:$V$6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2'!$C$7:$V$7</c:f>
              <c:numCache/>
            </c:numRef>
          </c:val>
          <c:smooth val="0"/>
        </c:ser>
        <c:ser>
          <c:idx val="18"/>
          <c:order val="18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2'!$C$8:$V$8</c:f>
              <c:numCache/>
            </c:numRef>
          </c:val>
          <c:smooth val="0"/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2'!$C$9:$V$9</c:f>
              <c:numCache/>
            </c:numRef>
          </c:val>
          <c:smooth val="0"/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2'!$C$10:$V$10</c:f>
              <c:numCache/>
            </c:numRef>
          </c:val>
          <c:smooth val="0"/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2'!$C$11:$V$11</c:f>
              <c:numCache/>
            </c:numRef>
          </c:val>
          <c:smooth val="0"/>
        </c:ser>
        <c:ser>
          <c:idx val="22"/>
          <c:order val="22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cat>
            <c:strRef>
              <c:f>'Sprint 2'!$C$4:$V$4</c:f>
            </c:strRef>
          </c:cat>
          <c:val>
            <c:numRef>
              <c:f>'Sprint 2'!$C$12:$V$12</c:f>
              <c:numCache/>
            </c:numRef>
          </c:val>
          <c:smooth val="0"/>
        </c:ser>
        <c:axId val="128865045"/>
        <c:axId val="106542523"/>
      </c:lineChart>
      <c:catAx>
        <c:axId val="1288650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542523"/>
      </c:catAx>
      <c:valAx>
        <c:axId val="106542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886504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3'!$C$5:$V$5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3'!$C$6:$V$6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3'!$C$7:$V$7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3'!$C$8:$V$8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3'!$C$9:$V$9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3'!$C$10:$V$10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3'!$C$11:$V$11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3'!$C$12:$V$12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3'!$C$13:$V$13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3'!$C$14:$V$14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3'!$C$15:$V$15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3'!$C$16:$V$16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3'!$C$17:$V$17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3'!$C$18:$V$18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3'!$C$5:$V$5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3'!$C$6:$V$6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3'!$C$7:$V$7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3'!$C$8:$V$8</c:f>
              <c:numCache/>
            </c:numRef>
          </c:val>
          <c:smooth val="0"/>
        </c:ser>
        <c:ser>
          <c:idx val="18"/>
          <c:order val="18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3'!$C$9:$V$9</c:f>
              <c:numCache/>
            </c:numRef>
          </c:val>
          <c:smooth val="0"/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3'!$C$10:$V$10</c:f>
              <c:numCache/>
            </c:numRef>
          </c:val>
          <c:smooth val="0"/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3'!$C$11:$V$11</c:f>
              <c:numCache/>
            </c:numRef>
          </c:val>
          <c:smooth val="0"/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3'!$C$12:$V$12</c:f>
              <c:numCache/>
            </c:numRef>
          </c:val>
          <c:smooth val="0"/>
        </c:ser>
        <c:ser>
          <c:idx val="22"/>
          <c:order val="22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3'!$C$13:$V$13</c:f>
              <c:numCache/>
            </c:numRef>
          </c:val>
          <c:smooth val="0"/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3'!$C$14:$V$14</c:f>
              <c:numCache/>
            </c:numRef>
          </c:val>
          <c:smooth val="0"/>
        </c:ser>
        <c:ser>
          <c:idx val="24"/>
          <c:order val="24"/>
          <c:spPr>
            <a:ln cmpd="sng">
              <a:solidFill>
                <a:srgbClr val="201307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3'!$C$15:$V$15</c:f>
              <c:numCache/>
            </c:numRef>
          </c:val>
          <c:smooth val="0"/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3'!$C$16:$V$16</c:f>
              <c:numCache/>
            </c:numRef>
          </c:val>
          <c:smooth val="0"/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3'!$C$17:$V$17</c:f>
              <c:numCache/>
            </c:numRef>
          </c:val>
          <c:smooth val="0"/>
        </c:ser>
        <c:ser>
          <c:idx val="27"/>
          <c:order val="27"/>
          <c:spPr>
            <a:ln cmpd="sng">
              <a:solidFill>
                <a:srgbClr val="FF0C32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3'!$C$18:$V$18</c:f>
              <c:numCache/>
            </c:numRef>
          </c:val>
          <c:smooth val="0"/>
        </c:ser>
        <c:ser>
          <c:idx val="28"/>
          <c:order val="28"/>
          <c:spPr>
            <a:ln cmpd="sng">
              <a:solidFill>
                <a:srgbClr val="241B0B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3'!$C$6:$V$6</c:f>
              <c:numCache/>
            </c:numRef>
          </c:val>
          <c:smooth val="0"/>
        </c:ser>
        <c:ser>
          <c:idx val="29"/>
          <c:order val="29"/>
          <c:spPr>
            <a:ln cmpd="sng">
              <a:solidFill>
                <a:srgbClr val="1C0F24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3'!$C$7:$V$7</c:f>
              <c:numCache/>
            </c:numRef>
          </c:val>
          <c:smooth val="0"/>
        </c:ser>
        <c:ser>
          <c:idx val="30"/>
          <c:order val="30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3'!$C$8:$V$8</c:f>
              <c:numCache/>
            </c:numRef>
          </c:val>
          <c:smooth val="0"/>
        </c:ser>
        <c:ser>
          <c:idx val="31"/>
          <c:order val="31"/>
          <c:spPr>
            <a:ln cmpd="sng">
              <a:solidFill>
                <a:srgbClr val="084066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3'!$C$9:$V$9</c:f>
              <c:numCache/>
            </c:numRef>
          </c:val>
          <c:smooth val="0"/>
        </c:ser>
        <c:ser>
          <c:idx val="32"/>
          <c:order val="32"/>
          <c:spPr>
            <a:ln cmpd="sng">
              <a:solidFill>
                <a:srgbClr val="2C2C2C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3'!$C$10:$V$10</c:f>
              <c:numCache/>
            </c:numRef>
          </c:val>
          <c:smooth val="0"/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3'!$C$11:$V$11</c:f>
              <c:numCache/>
            </c:numRef>
          </c:val>
          <c:smooth val="0"/>
        </c:ser>
        <c:ser>
          <c:idx val="34"/>
          <c:order val="34"/>
          <c:spPr>
            <a:ln cmpd="sng">
              <a:solidFill>
                <a:srgbClr val="5D461D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3'!$C$12:$V$12</c:f>
              <c:numCache/>
            </c:numRef>
          </c:val>
          <c:smooth val="0"/>
        </c:ser>
        <c:ser>
          <c:idx val="35"/>
          <c:order val="35"/>
          <c:spPr>
            <a:ln cmpd="sng">
              <a:solidFill>
                <a:srgbClr val="47285B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3'!$C$13:$V$13</c:f>
              <c:numCache/>
            </c:numRef>
          </c:val>
          <c:smooth val="0"/>
        </c:ser>
        <c:ser>
          <c:idx val="36"/>
          <c:order val="36"/>
          <c:spPr>
            <a:ln cmpd="sng">
              <a:solidFill>
                <a:srgbClr val="824F21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3'!$C$14:$V$14</c:f>
              <c:numCache/>
            </c:numRef>
          </c:val>
          <c:smooth val="0"/>
        </c:ser>
        <c:ser>
          <c:idx val="37"/>
          <c:order val="37"/>
          <c:spPr>
            <a:ln cmpd="sng">
              <a:solidFill>
                <a:srgbClr val="0D67A4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3'!$C$15:$V$15</c:f>
              <c:numCache/>
            </c:numRef>
          </c:val>
          <c:smooth val="0"/>
        </c:ser>
        <c:ser>
          <c:idx val="38"/>
          <c:order val="38"/>
          <c:spPr>
            <a:ln cmpd="sng">
              <a:solidFill>
                <a:srgbClr val="474747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3'!$C$16:$V$16</c:f>
              <c:numCache/>
            </c:numRef>
          </c:val>
          <c:smooth val="0"/>
        </c:ser>
        <c:ser>
          <c:idx val="39"/>
          <c:order val="39"/>
          <c:spPr>
            <a:ln cmpd="sng">
              <a:solidFill>
                <a:srgbClr val="FF31CB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3'!$C$17:$V$17</c:f>
              <c:numCache/>
            </c:numRef>
          </c:val>
          <c:smooth val="0"/>
        </c:ser>
        <c:ser>
          <c:idx val="40"/>
          <c:order val="40"/>
          <c:spPr>
            <a:ln cmpd="sng">
              <a:solidFill>
                <a:srgbClr val="95702E"/>
              </a:solidFill>
            </a:ln>
          </c:spPr>
          <c:marker>
            <c:symbol val="none"/>
          </c:marker>
          <c:cat>
            <c:strRef>
              <c:f>'Sprint 3'!$C$4:$V$4</c:f>
            </c:strRef>
          </c:cat>
          <c:val>
            <c:numRef>
              <c:f>'Sprint 3'!$C$18:$V$18</c:f>
              <c:numCache/>
            </c:numRef>
          </c:val>
          <c:smooth val="0"/>
        </c:ser>
        <c:axId val="674799533"/>
        <c:axId val="1158310975"/>
      </c:lineChart>
      <c:catAx>
        <c:axId val="674799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58310975"/>
      </c:catAx>
      <c:valAx>
        <c:axId val="1158310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479953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4'!$C$5:$V$5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4'!$C$6:$V$6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4'!$C$7:$V$7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4'!$C$8:$V$8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4'!$C$9:$V$9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4'!$C$10:$V$10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4'!$C$11:$V$11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4'!$C$12:$V$12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4'!$C$13:$V$13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4'!$C$14:$V$14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4'!$C$15:$V$15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4'!$C$16:$V$16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4'!$C$17:$V$17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4'!$C$18:$V$18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4'!$C$19:$V$19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4'!$C$20:$V$20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4'!$C$21:$V$21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4'!$C$5:$V$5</c:f>
              <c:numCache/>
            </c:numRef>
          </c:val>
          <c:smooth val="0"/>
        </c:ser>
        <c:ser>
          <c:idx val="18"/>
          <c:order val="18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4'!$C$6:$V$6</c:f>
              <c:numCache/>
            </c:numRef>
          </c:val>
          <c:smooth val="0"/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4'!$C$7:$V$7</c:f>
              <c:numCache/>
            </c:numRef>
          </c:val>
          <c:smooth val="0"/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4'!$C$8:$V$8</c:f>
              <c:numCache/>
            </c:numRef>
          </c:val>
          <c:smooth val="0"/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4'!$C$9:$V$9</c:f>
              <c:numCache/>
            </c:numRef>
          </c:val>
          <c:smooth val="0"/>
        </c:ser>
        <c:ser>
          <c:idx val="22"/>
          <c:order val="22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4'!$C$10:$V$10</c:f>
              <c:numCache/>
            </c:numRef>
          </c:val>
          <c:smooth val="0"/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4'!$C$11:$V$11</c:f>
              <c:numCache/>
            </c:numRef>
          </c:val>
          <c:smooth val="0"/>
        </c:ser>
        <c:ser>
          <c:idx val="24"/>
          <c:order val="24"/>
          <c:spPr>
            <a:ln cmpd="sng">
              <a:solidFill>
                <a:srgbClr val="201307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4'!$C$12:$V$12</c:f>
              <c:numCache/>
            </c:numRef>
          </c:val>
          <c:smooth val="0"/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4'!$C$13:$V$13</c:f>
              <c:numCache/>
            </c:numRef>
          </c:val>
          <c:smooth val="0"/>
        </c:ser>
        <c:ser>
          <c:idx val="26"/>
          <c:order val="26"/>
          <c:spPr>
            <a:ln cmpd="sng">
              <a:solidFill>
                <a:srgbClr val="111111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4'!$C$14:$V$14</c:f>
              <c:numCache/>
            </c:numRef>
          </c:val>
          <c:smooth val="0"/>
        </c:ser>
        <c:ser>
          <c:idx val="27"/>
          <c:order val="27"/>
          <c:spPr>
            <a:ln cmpd="sng">
              <a:solidFill>
                <a:srgbClr val="FF0C32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4'!$C$15:$V$15</c:f>
              <c:numCache/>
            </c:numRef>
          </c:val>
          <c:smooth val="0"/>
        </c:ser>
        <c:ser>
          <c:idx val="28"/>
          <c:order val="28"/>
          <c:spPr>
            <a:ln cmpd="sng">
              <a:solidFill>
                <a:srgbClr val="241B0B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4'!$C$16:$V$16</c:f>
              <c:numCache/>
            </c:numRef>
          </c:val>
          <c:smooth val="0"/>
        </c:ser>
        <c:ser>
          <c:idx val="29"/>
          <c:order val="29"/>
          <c:spPr>
            <a:ln cmpd="sng">
              <a:solidFill>
                <a:srgbClr val="1C0F24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4'!$C$17:$V$17</c:f>
              <c:numCache/>
            </c:numRef>
          </c:val>
          <c:smooth val="0"/>
        </c:ser>
        <c:ser>
          <c:idx val="30"/>
          <c:order val="30"/>
          <c:spPr>
            <a:ln cmpd="sng">
              <a:solidFill>
                <a:srgbClr val="513114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4'!$C$18:$V$18</c:f>
              <c:numCache/>
            </c:numRef>
          </c:val>
          <c:smooth val="0"/>
        </c:ser>
        <c:ser>
          <c:idx val="31"/>
          <c:order val="31"/>
          <c:spPr>
            <a:ln cmpd="sng">
              <a:solidFill>
                <a:srgbClr val="084066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4'!$C$19:$V$19</c:f>
              <c:numCache/>
            </c:numRef>
          </c:val>
          <c:smooth val="0"/>
        </c:ser>
        <c:ser>
          <c:idx val="32"/>
          <c:order val="32"/>
          <c:spPr>
            <a:ln cmpd="sng">
              <a:solidFill>
                <a:srgbClr val="2C2C2C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4'!$C$20:$V$20</c:f>
              <c:numCache/>
            </c:numRef>
          </c:val>
          <c:smooth val="0"/>
        </c:ser>
        <c:ser>
          <c:idx val="33"/>
          <c:order val="33"/>
          <c:spPr>
            <a:ln cmpd="sng">
              <a:solidFill>
                <a:srgbClr val="FF1F7F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4'!$C$21:$V$21</c:f>
              <c:numCache/>
            </c:numRef>
          </c:val>
          <c:smooth val="0"/>
        </c:ser>
        <c:ser>
          <c:idx val="34"/>
          <c:order val="34"/>
          <c:spPr>
            <a:ln cmpd="sng">
              <a:solidFill>
                <a:srgbClr val="5D461D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4'!$C$6:$V$6</c:f>
              <c:numCache/>
            </c:numRef>
          </c:val>
          <c:smooth val="0"/>
        </c:ser>
        <c:ser>
          <c:idx val="35"/>
          <c:order val="35"/>
          <c:spPr>
            <a:ln cmpd="sng">
              <a:solidFill>
                <a:srgbClr val="47285B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4'!$C$7:$V$7</c:f>
              <c:numCache/>
            </c:numRef>
          </c:val>
          <c:smooth val="0"/>
        </c:ser>
        <c:ser>
          <c:idx val="36"/>
          <c:order val="36"/>
          <c:spPr>
            <a:ln cmpd="sng">
              <a:solidFill>
                <a:srgbClr val="824F21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4'!$C$8:$V$8</c:f>
              <c:numCache/>
            </c:numRef>
          </c:val>
          <c:smooth val="0"/>
        </c:ser>
        <c:ser>
          <c:idx val="37"/>
          <c:order val="37"/>
          <c:spPr>
            <a:ln cmpd="sng">
              <a:solidFill>
                <a:srgbClr val="0D67A4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4'!$C$9:$V$9</c:f>
              <c:numCache/>
            </c:numRef>
          </c:val>
          <c:smooth val="0"/>
        </c:ser>
        <c:ser>
          <c:idx val="38"/>
          <c:order val="38"/>
          <c:spPr>
            <a:ln cmpd="sng">
              <a:solidFill>
                <a:srgbClr val="474747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4'!$C$10:$V$10</c:f>
              <c:numCache/>
            </c:numRef>
          </c:val>
          <c:smooth val="0"/>
        </c:ser>
        <c:ser>
          <c:idx val="39"/>
          <c:order val="39"/>
          <c:spPr>
            <a:ln cmpd="sng">
              <a:solidFill>
                <a:srgbClr val="FF31CB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4'!$C$11:$V$11</c:f>
              <c:numCache/>
            </c:numRef>
          </c:val>
          <c:smooth val="0"/>
        </c:ser>
        <c:ser>
          <c:idx val="40"/>
          <c:order val="40"/>
          <c:spPr>
            <a:ln cmpd="sng">
              <a:solidFill>
                <a:srgbClr val="95702E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4'!$C$12:$V$12</c:f>
              <c:numCache/>
            </c:numRef>
          </c:val>
          <c:smooth val="0"/>
        </c:ser>
        <c:ser>
          <c:idx val="41"/>
          <c:order val="41"/>
          <c:spPr>
            <a:ln cmpd="sng">
              <a:solidFill>
                <a:srgbClr val="714192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4'!$C$13:$V$13</c:f>
              <c:numCache/>
            </c:numRef>
          </c:val>
          <c:smooth val="0"/>
        </c:ser>
        <c:ser>
          <c:idx val="42"/>
          <c:order val="42"/>
          <c:spPr>
            <a:ln cmpd="sng">
              <a:solidFill>
                <a:srgbClr val="B36D2D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4'!$C$14:$V$14</c:f>
              <c:numCache/>
            </c:numRef>
          </c:val>
          <c:smooth val="0"/>
        </c:ser>
        <c:ser>
          <c:idx val="43"/>
          <c:order val="43"/>
          <c:spPr>
            <a:ln cmpd="sng">
              <a:solidFill>
                <a:srgbClr val="138EE2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4'!$C$15:$V$15</c:f>
              <c:numCache/>
            </c:numRef>
          </c:val>
          <c:smooth val="0"/>
        </c:ser>
        <c:ser>
          <c:idx val="44"/>
          <c:order val="44"/>
          <c:spPr>
            <a:ln cmpd="sng">
              <a:solidFill>
                <a:srgbClr val="626262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4'!$C$16:$V$16</c:f>
              <c:numCache/>
            </c:numRef>
          </c:val>
          <c:smooth val="0"/>
        </c:ser>
        <c:ser>
          <c:idx val="45"/>
          <c:order val="45"/>
          <c:spPr>
            <a:ln cmpd="sng">
              <a:solidFill>
                <a:srgbClr val="FF4418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4'!$C$17:$V$17</c:f>
              <c:numCache/>
            </c:numRef>
          </c:val>
          <c:smooth val="0"/>
        </c:ser>
        <c:ser>
          <c:idx val="46"/>
          <c:order val="46"/>
          <c:spPr>
            <a:ln cmpd="sng">
              <a:solidFill>
                <a:srgbClr val="CD9A40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4'!$C$18:$V$18</c:f>
              <c:numCache/>
            </c:numRef>
          </c:val>
          <c:smooth val="0"/>
        </c:ser>
        <c:ser>
          <c:idx val="47"/>
          <c:order val="47"/>
          <c:spPr>
            <a:ln cmpd="sng">
              <a:solidFill>
                <a:srgbClr val="9C59C9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4'!$C$19:$V$19</c:f>
              <c:numCache/>
            </c:numRef>
          </c:val>
          <c:smooth val="0"/>
        </c:ser>
        <c:ser>
          <c:idx val="48"/>
          <c:order val="48"/>
          <c:spPr>
            <a:ln cmpd="sng">
              <a:solidFill>
                <a:srgbClr val="E58B3A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4'!$C$20:$V$20</c:f>
              <c:numCache/>
            </c:numRef>
          </c:val>
          <c:smooth val="0"/>
        </c:ser>
        <c:ser>
          <c:idx val="49"/>
          <c:order val="49"/>
          <c:spPr>
            <a:ln cmpd="sng">
              <a:solidFill>
                <a:srgbClr val="18B51F"/>
              </a:solidFill>
            </a:ln>
          </c:spPr>
          <c:marker>
            <c:symbol val="none"/>
          </c:marker>
          <c:cat>
            <c:strRef>
              <c:f>'Sprint 4'!$C$4:$V$4</c:f>
            </c:strRef>
          </c:cat>
          <c:val>
            <c:numRef>
              <c:f>'Sprint 4'!$C$21:$V$21</c:f>
              <c:numCache/>
            </c:numRef>
          </c:val>
          <c:smooth val="0"/>
        </c:ser>
        <c:axId val="121022888"/>
        <c:axId val="1695825045"/>
      </c:lineChart>
      <c:catAx>
        <c:axId val="121022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95825045"/>
      </c:catAx>
      <c:valAx>
        <c:axId val="16958250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102288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 Light"/>
              </a:defRPr>
            </a:pPr>
            <a:r>
              <a:rPr b="0" i="0" sz="200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Horas 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5'!$C$5:$V$5</c:f>
              <c:numCache/>
            </c:numRef>
          </c:val>
          <c:smooth val="0"/>
        </c:ser>
        <c:ser>
          <c:idx val="1"/>
          <c:order val="1"/>
          <c:tx>
            <c:v>Horas 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5'!$C$6:$V$6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5'!$C$7:$V$7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5'!$C$8:$V$8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5'!$C$9:$V$9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5'!$C$10:$V$10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8CB9E2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5'!$C$11:$V$11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2A46F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5'!$C$12:$V$12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C0C0C0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5'!$C$13:$V$13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FFD34D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5'!$C$5:$V$5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7C9CD6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5'!$C$6:$V$6</c:f>
              <c:numCache/>
            </c:numRef>
          </c:val>
          <c:smooth val="0"/>
        </c:ser>
        <c:ser>
          <c:idx val="11"/>
          <c:order val="11"/>
          <c:spPr>
            <a:ln cmpd="sng">
              <a:solidFill>
                <a:srgbClr val="9BC67E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5'!$C$7:$V$7</c:f>
              <c:numCache/>
            </c:numRef>
          </c:val>
          <c:smooth val="0"/>
        </c:ser>
        <c:ser>
          <c:idx val="12"/>
          <c:order val="12"/>
          <c:spPr>
            <a:ln cmpd="sng">
              <a:solidFill>
                <a:srgbClr val="BDD7EE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5'!$C$8:$V$8</c:f>
              <c:numCache/>
            </c:numRef>
          </c:val>
          <c:smooth val="0"/>
        </c:ser>
        <c:ser>
          <c:idx val="13"/>
          <c:order val="13"/>
          <c:spPr>
            <a:ln cmpd="sng">
              <a:solidFill>
                <a:srgbClr val="F8CBAD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5'!$C$9:$V$9</c:f>
              <c:numCache/>
            </c:numRef>
          </c:val>
          <c:smooth val="0"/>
        </c:ser>
        <c:ser>
          <c:idx val="14"/>
          <c:order val="14"/>
          <c:spPr>
            <a:ln cmpd="sng">
              <a:solidFill>
                <a:srgbClr val="DBDBDB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5'!$C$10:$V$10</c:f>
              <c:numCache/>
            </c:numRef>
          </c:val>
          <c:smooth val="0"/>
        </c:ser>
        <c:ser>
          <c:idx val="15"/>
          <c:order val="15"/>
          <c:spPr>
            <a:ln cmpd="sng">
              <a:solidFill>
                <a:srgbClr val="FFE699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5'!$C$11:$V$11</c:f>
              <c:numCache/>
            </c:numRef>
          </c:val>
          <c:smooth val="0"/>
        </c:ser>
        <c:ser>
          <c:idx val="16"/>
          <c:order val="16"/>
          <c:spPr>
            <a:ln cmpd="sng">
              <a:solidFill>
                <a:srgbClr val="B4C7E7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5'!$C$12:$V$12</c:f>
              <c:numCache/>
            </c:numRef>
          </c:val>
          <c:smooth val="0"/>
        </c:ser>
        <c:ser>
          <c:idx val="17"/>
          <c:order val="17"/>
          <c:spPr>
            <a:ln cmpd="sng">
              <a:solidFill>
                <a:srgbClr val="C6DEB5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5'!$C$13:$V$13</c:f>
              <c:numCache/>
            </c:numRef>
          </c:val>
          <c:smooth val="0"/>
        </c:ser>
        <c:ser>
          <c:idx val="18"/>
          <c:order val="18"/>
          <c:spPr>
            <a:ln cmpd="sng">
              <a:solidFill>
                <a:srgbClr val="EFF5FB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5'!$C$6:$V$6</c:f>
              <c:numCache/>
            </c:numRef>
          </c:val>
          <c:smooth val="0"/>
        </c:ser>
        <c:ser>
          <c:idx val="19"/>
          <c:order val="19"/>
          <c:spPr>
            <a:ln cmpd="sng">
              <a:solidFill>
                <a:srgbClr val="FDF2EA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5'!$C$7:$V$7</c:f>
              <c:numCache/>
            </c:numRef>
          </c:val>
          <c:smooth val="0"/>
        </c:ser>
        <c:ser>
          <c:idx val="20"/>
          <c:order val="20"/>
          <c:spPr>
            <a:ln cmpd="sng">
              <a:solidFill>
                <a:srgbClr val="F6F6F6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5'!$C$8:$V$8</c:f>
              <c:numCache/>
            </c:numRef>
          </c:val>
          <c:smooth val="0"/>
        </c:ser>
        <c:ser>
          <c:idx val="21"/>
          <c:order val="21"/>
          <c:spPr>
            <a:ln cmpd="sng">
              <a:solidFill>
                <a:srgbClr val="FFF9E6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5'!$C$9:$V$9</c:f>
              <c:numCache/>
            </c:numRef>
          </c:val>
          <c:smooth val="0"/>
        </c:ser>
        <c:ser>
          <c:idx val="22"/>
          <c:order val="22"/>
          <c:spPr>
            <a:ln cmpd="sng">
              <a:solidFill>
                <a:srgbClr val="ECF1F9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5'!$C$10:$V$10</c:f>
              <c:numCache/>
            </c:numRef>
          </c:val>
          <c:smooth val="0"/>
        </c:ser>
        <c:ser>
          <c:idx val="23"/>
          <c:order val="23"/>
          <c:spPr>
            <a:ln cmpd="sng">
              <a:solidFill>
                <a:srgbClr val="F1F7ED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5'!$C$11:$V$11</c:f>
              <c:numCache/>
            </c:numRef>
          </c:val>
          <c:smooth val="0"/>
        </c:ser>
        <c:ser>
          <c:idx val="24"/>
          <c:order val="24"/>
          <c:spPr>
            <a:ln cmpd="sng">
              <a:solidFill>
                <a:srgbClr val="201307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5'!$C$12:$V$12</c:f>
              <c:numCache/>
            </c:numRef>
          </c:val>
          <c:smooth val="0"/>
        </c:ser>
        <c:ser>
          <c:idx val="25"/>
          <c:order val="25"/>
          <c:spPr>
            <a:ln cmpd="sng">
              <a:solidFill>
                <a:srgbClr val="031928"/>
              </a:solidFill>
            </a:ln>
          </c:spPr>
          <c:marker>
            <c:symbol val="none"/>
          </c:marker>
          <c:cat>
            <c:strRef>
              <c:f>'Sprint 5'!$C$4:$V$4</c:f>
            </c:strRef>
          </c:cat>
          <c:val>
            <c:numRef>
              <c:f>'Sprint 5'!$C$13:$V$13</c:f>
              <c:numCache/>
            </c:numRef>
          </c:val>
          <c:smooth val="0"/>
        </c:ser>
        <c:axId val="682126091"/>
        <c:axId val="506203959"/>
      </c:lineChart>
      <c:catAx>
        <c:axId val="682126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6203959"/>
      </c:catAx>
      <c:valAx>
        <c:axId val="506203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2126091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180975</xdr:colOff>
      <xdr:row>2</xdr:row>
      <xdr:rowOff>9525</xdr:rowOff>
    </xdr:from>
    <xdr:ext cx="3524250" cy="5467350"/>
    <xdr:graphicFrame>
      <xdr:nvGraphicFramePr>
        <xdr:cNvPr id="1952365753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5467350"/>
    <xdr:graphicFrame>
      <xdr:nvGraphicFramePr>
        <xdr:cNvPr id="1543572296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5467350"/>
    <xdr:graphicFrame>
      <xdr:nvGraphicFramePr>
        <xdr:cNvPr id="110392488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5467350"/>
    <xdr:graphicFrame>
      <xdr:nvGraphicFramePr>
        <xdr:cNvPr id="121359644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5467350"/>
    <xdr:graphicFrame>
      <xdr:nvGraphicFramePr>
        <xdr:cNvPr id="82042783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22" width="3.43"/>
    <col customWidth="1" min="23" max="29" width="10.71"/>
  </cols>
  <sheetData>
    <row r="1" ht="32.25" customHeight="1">
      <c r="A1" s="1" t="s">
        <v>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 ht="14.25" customHeight="1">
      <c r="A5" s="10" t="s">
        <v>6</v>
      </c>
      <c r="B5" s="11">
        <v>3.0</v>
      </c>
      <c r="C5" s="10">
        <v>3.0</v>
      </c>
      <c r="D5" s="10"/>
      <c r="E5" s="10"/>
      <c r="F5" s="10"/>
      <c r="G5" s="10"/>
      <c r="H5" s="10"/>
      <c r="I5" s="10"/>
      <c r="J5" s="10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>
        <f t="shared" ref="W5:W25" si="1">SUM(C5:V5)</f>
        <v>3</v>
      </c>
    </row>
    <row r="6" ht="14.25" customHeight="1">
      <c r="A6" s="10" t="s">
        <v>7</v>
      </c>
      <c r="B6" s="11">
        <v>3.0</v>
      </c>
      <c r="C6" s="10">
        <v>1.0</v>
      </c>
      <c r="D6" s="10">
        <v>2.0</v>
      </c>
      <c r="E6" s="10"/>
      <c r="F6" s="10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4">
        <f t="shared" si="1"/>
        <v>3</v>
      </c>
    </row>
    <row r="7" ht="14.25" customHeight="1">
      <c r="A7" s="10" t="s">
        <v>8</v>
      </c>
      <c r="B7" s="11">
        <v>5.0</v>
      </c>
      <c r="C7" s="10"/>
      <c r="D7" s="10">
        <v>2.0</v>
      </c>
      <c r="E7" s="10">
        <v>2.0</v>
      </c>
      <c r="F7" s="10">
        <v>1.0</v>
      </c>
      <c r="G7" s="10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4">
        <f t="shared" si="1"/>
        <v>5</v>
      </c>
    </row>
    <row r="8" ht="14.25" customHeight="1">
      <c r="A8" s="10" t="s">
        <v>9</v>
      </c>
      <c r="B8" s="11">
        <v>4.0</v>
      </c>
      <c r="C8" s="10"/>
      <c r="D8" s="12"/>
      <c r="E8" s="10"/>
      <c r="F8" s="10">
        <v>2.0</v>
      </c>
      <c r="G8" s="10">
        <v>2.0</v>
      </c>
      <c r="H8" s="10"/>
      <c r="I8" s="10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4">
        <f t="shared" si="1"/>
        <v>4</v>
      </c>
    </row>
    <row r="9" ht="14.25" customHeight="1">
      <c r="A9" s="10" t="s">
        <v>10</v>
      </c>
      <c r="B9" s="11">
        <v>3.0</v>
      </c>
      <c r="C9" s="10"/>
      <c r="D9" s="12"/>
      <c r="E9" s="12"/>
      <c r="F9" s="10"/>
      <c r="G9" s="10">
        <v>3.0</v>
      </c>
      <c r="H9" s="10"/>
      <c r="I9" s="10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4">
        <f t="shared" si="1"/>
        <v>3</v>
      </c>
    </row>
    <row r="10" ht="14.25" customHeight="1">
      <c r="A10" s="10" t="s">
        <v>11</v>
      </c>
      <c r="B10" s="11">
        <v>3.0</v>
      </c>
      <c r="C10" s="10">
        <v>1.0</v>
      </c>
      <c r="D10" s="10">
        <v>2.0</v>
      </c>
      <c r="E10" s="10"/>
      <c r="F10" s="12"/>
      <c r="G10" s="15"/>
      <c r="H10" s="15"/>
      <c r="I10" s="15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4">
        <f t="shared" si="1"/>
        <v>3</v>
      </c>
    </row>
    <row r="11" ht="14.25" customHeight="1">
      <c r="A11" s="10" t="s">
        <v>12</v>
      </c>
      <c r="B11" s="11">
        <v>4.0</v>
      </c>
      <c r="C11" s="12"/>
      <c r="D11" s="10">
        <v>1.0</v>
      </c>
      <c r="E11" s="10">
        <v>3.0</v>
      </c>
      <c r="F11" s="12"/>
      <c r="G11" s="15"/>
      <c r="H11" s="15"/>
      <c r="I11" s="15"/>
      <c r="J11" s="10"/>
      <c r="K11" s="10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4">
        <f t="shared" si="1"/>
        <v>4</v>
      </c>
    </row>
    <row r="12" ht="14.25" customHeight="1">
      <c r="A12" s="10" t="s">
        <v>13</v>
      </c>
      <c r="B12" s="11">
        <v>2.0</v>
      </c>
      <c r="C12" s="12"/>
      <c r="D12" s="12"/>
      <c r="E12" s="10">
        <v>2.0</v>
      </c>
      <c r="F12" s="12"/>
      <c r="G12" s="15"/>
      <c r="H12" s="15"/>
      <c r="I12" s="15"/>
      <c r="J12" s="12"/>
      <c r="K12" s="10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4">
        <f t="shared" si="1"/>
        <v>2</v>
      </c>
    </row>
    <row r="13" ht="14.25" customHeight="1">
      <c r="A13" s="10"/>
      <c r="B13" s="16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4">
        <f t="shared" si="1"/>
        <v>0</v>
      </c>
    </row>
    <row r="14" ht="14.25" customHeight="1">
      <c r="A14" s="12"/>
      <c r="B14" s="1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4">
        <f t="shared" si="1"/>
        <v>0</v>
      </c>
    </row>
    <row r="15" ht="14.25" customHeight="1">
      <c r="A15" s="12"/>
      <c r="B15" s="1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4">
        <f t="shared" si="1"/>
        <v>0</v>
      </c>
    </row>
    <row r="16" ht="14.25" customHeight="1">
      <c r="A16" s="12"/>
      <c r="B16" s="1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4">
        <f t="shared" si="1"/>
        <v>0</v>
      </c>
    </row>
    <row r="17" ht="14.25" customHeight="1">
      <c r="A17" s="12"/>
      <c r="B17" s="16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4">
        <f t="shared" si="1"/>
        <v>0</v>
      </c>
    </row>
    <row r="18" ht="14.25" customHeight="1">
      <c r="A18" s="12"/>
      <c r="B18" s="1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4">
        <f t="shared" si="1"/>
        <v>0</v>
      </c>
    </row>
    <row r="19" ht="14.25" customHeight="1">
      <c r="A19" s="12"/>
      <c r="B19" s="1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4">
        <f t="shared" si="1"/>
        <v>0</v>
      </c>
    </row>
    <row r="20" ht="14.25" customHeight="1">
      <c r="A20" s="12"/>
      <c r="B20" s="1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4">
        <f t="shared" si="1"/>
        <v>0</v>
      </c>
    </row>
    <row r="21" ht="14.25" customHeight="1">
      <c r="A21" s="12"/>
      <c r="B21" s="1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4">
        <f t="shared" si="1"/>
        <v>0</v>
      </c>
    </row>
    <row r="22" ht="14.25" customHeight="1">
      <c r="A22" s="12"/>
      <c r="B22" s="1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4">
        <f t="shared" si="1"/>
        <v>0</v>
      </c>
    </row>
    <row r="23" ht="14.25" customHeight="1">
      <c r="A23" s="12"/>
      <c r="B23" s="1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4">
        <f t="shared" si="1"/>
        <v>0</v>
      </c>
    </row>
    <row r="24" ht="14.25" customHeight="1">
      <c r="A24" s="12"/>
      <c r="B24" s="1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4">
        <f t="shared" si="1"/>
        <v>0</v>
      </c>
    </row>
    <row r="25" ht="14.25" customHeight="1">
      <c r="A25" s="12"/>
      <c r="B25" s="1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7">
        <f t="shared" si="1"/>
        <v>0</v>
      </c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4.25" customHeight="1">
      <c r="A27" s="2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>
        <f>V27-SUM(V5:V25)</f>
        <v>0</v>
      </c>
    </row>
    <row r="28" ht="14.25" customHeight="1">
      <c r="A28" s="19" t="s">
        <v>14</v>
      </c>
      <c r="B28" s="2">
        <f>SUM(W3:W23)</f>
        <v>27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0"/>
      <c r="W28" s="2"/>
    </row>
    <row r="29" ht="14.25" customHeight="1">
      <c r="A29" s="2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>
        <f>V29-(SUM($B$5:$B$25)/20)</f>
        <v>-1.35</v>
      </c>
    </row>
    <row r="30" ht="14.25" customHeight="1">
      <c r="A30" s="19" t="s">
        <v>15</v>
      </c>
      <c r="B30" s="2">
        <f>SUM(B5:B25)</f>
        <v>27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2"/>
      <c r="B31" s="2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2"/>
      <c r="B32" s="21"/>
      <c r="C32" s="2"/>
      <c r="D32" s="2"/>
      <c r="E32" s="2"/>
      <c r="F32" s="2"/>
      <c r="G32" s="2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2"/>
      <c r="B33" s="21"/>
      <c r="C33" s="2"/>
      <c r="D33" s="2"/>
      <c r="E33" s="2"/>
      <c r="F33" s="2"/>
      <c r="G33" s="2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4.25" customHeight="1">
      <c r="A34" s="2"/>
      <c r="B34" s="21"/>
      <c r="C34" s="2"/>
      <c r="D34" s="2"/>
      <c r="E34" s="2"/>
      <c r="F34" s="2"/>
      <c r="G34" s="21"/>
      <c r="H34" s="2"/>
      <c r="I34" s="2"/>
    </row>
    <row r="35" ht="14.25" customHeight="1">
      <c r="A35" s="2"/>
      <c r="B35" s="21"/>
      <c r="C35" s="2"/>
      <c r="D35" s="2"/>
      <c r="E35" s="2"/>
      <c r="F35" s="2"/>
      <c r="G35" s="21"/>
      <c r="H35" s="2"/>
      <c r="I35" s="2"/>
    </row>
    <row r="36" ht="14.25" customHeight="1">
      <c r="A36" s="2"/>
      <c r="B36" s="21"/>
      <c r="C36" s="2"/>
      <c r="D36" s="2"/>
      <c r="E36" s="2"/>
      <c r="F36" s="2"/>
      <c r="G36" s="21"/>
      <c r="H36" s="2"/>
      <c r="I36" s="2"/>
    </row>
    <row r="37" ht="14.25" customHeight="1">
      <c r="A37" s="2"/>
      <c r="B37" s="21"/>
      <c r="C37" s="2"/>
      <c r="D37" s="2"/>
      <c r="E37" s="2"/>
      <c r="F37" s="2"/>
      <c r="G37" s="21"/>
      <c r="H37" s="2"/>
      <c r="I37" s="2"/>
    </row>
    <row r="38" ht="14.25" customHeight="1">
      <c r="A38" s="2"/>
      <c r="B38" s="21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21"/>
      <c r="C39" s="2"/>
      <c r="D39" s="2"/>
      <c r="E39" s="2"/>
      <c r="F39" s="2"/>
      <c r="G39" s="2"/>
      <c r="H39" s="2"/>
      <c r="I39" s="2"/>
    </row>
    <row r="40" ht="14.25" customHeight="1">
      <c r="A40" s="2"/>
      <c r="B40" s="21"/>
      <c r="C40" s="2"/>
      <c r="D40" s="2"/>
      <c r="E40" s="2"/>
      <c r="F40" s="2"/>
      <c r="G40" s="2"/>
      <c r="H40" s="2"/>
      <c r="I40" s="2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22" width="3.43"/>
    <col customWidth="1" min="23" max="29" width="10.71"/>
  </cols>
  <sheetData>
    <row r="1" ht="32.25" customHeight="1">
      <c r="A1" s="22" t="s">
        <v>16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 ht="14.25" customHeight="1">
      <c r="A5" s="10" t="s">
        <v>17</v>
      </c>
      <c r="B5" s="11">
        <v>4.0</v>
      </c>
      <c r="C5" s="10">
        <v>3.0</v>
      </c>
      <c r="D5" s="10">
        <v>1.0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>
        <f t="shared" ref="W5:W22" si="1">SUM(C5:V5)</f>
        <v>4</v>
      </c>
    </row>
    <row r="6" ht="14.25" customHeight="1">
      <c r="A6" s="10" t="s">
        <v>18</v>
      </c>
      <c r="B6" s="11">
        <v>6.0</v>
      </c>
      <c r="C6" s="12"/>
      <c r="D6" s="10">
        <v>4.0</v>
      </c>
      <c r="E6" s="10">
        <v>2.0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4">
        <f t="shared" si="1"/>
        <v>6</v>
      </c>
    </row>
    <row r="7" ht="14.25" customHeight="1">
      <c r="A7" s="10" t="s">
        <v>19</v>
      </c>
      <c r="B7" s="11">
        <v>3.0</v>
      </c>
      <c r="C7" s="12"/>
      <c r="D7" s="12"/>
      <c r="E7" s="10">
        <v>2.0</v>
      </c>
      <c r="F7" s="10">
        <v>1.0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4">
        <f t="shared" si="1"/>
        <v>3</v>
      </c>
    </row>
    <row r="8" ht="14.25" customHeight="1">
      <c r="A8" s="10" t="s">
        <v>20</v>
      </c>
      <c r="B8" s="11">
        <v>2.0</v>
      </c>
      <c r="C8" s="12"/>
      <c r="D8" s="12"/>
      <c r="E8" s="12"/>
      <c r="F8" s="10">
        <v>2.0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4">
        <f t="shared" si="1"/>
        <v>2</v>
      </c>
    </row>
    <row r="9" ht="14.25" customHeight="1">
      <c r="A9" s="10" t="s">
        <v>21</v>
      </c>
      <c r="B9" s="11">
        <v>4.0</v>
      </c>
      <c r="C9" s="10">
        <v>1.0</v>
      </c>
      <c r="D9" s="10">
        <v>2.0</v>
      </c>
      <c r="E9" s="10">
        <v>1.0</v>
      </c>
      <c r="F9" s="12"/>
      <c r="G9" s="12"/>
      <c r="H9" s="12"/>
      <c r="I9" s="12"/>
      <c r="J9" s="15"/>
      <c r="K9" s="15"/>
      <c r="L9" s="15"/>
      <c r="M9" s="12"/>
      <c r="N9" s="12"/>
      <c r="O9" s="12"/>
      <c r="P9" s="12"/>
      <c r="Q9" s="12"/>
      <c r="R9" s="12"/>
      <c r="S9" s="12"/>
      <c r="T9" s="12"/>
      <c r="U9" s="12"/>
      <c r="V9" s="12"/>
      <c r="W9" s="14">
        <f t="shared" si="1"/>
        <v>4</v>
      </c>
    </row>
    <row r="10" ht="14.25" customHeight="1">
      <c r="A10" s="10" t="s">
        <v>22</v>
      </c>
      <c r="B10" s="11">
        <v>6.0</v>
      </c>
      <c r="C10" s="12"/>
      <c r="D10" s="12"/>
      <c r="E10" s="10">
        <v>3.0</v>
      </c>
      <c r="F10" s="10">
        <v>2.0</v>
      </c>
      <c r="G10" s="10">
        <v>1.0</v>
      </c>
      <c r="H10" s="12"/>
      <c r="I10" s="12"/>
      <c r="J10" s="15"/>
      <c r="K10" s="15"/>
      <c r="L10" s="15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4">
        <f t="shared" si="1"/>
        <v>6</v>
      </c>
    </row>
    <row r="11" ht="14.25" customHeight="1">
      <c r="A11" s="10" t="s">
        <v>23</v>
      </c>
      <c r="B11" s="11">
        <v>4.0</v>
      </c>
      <c r="C11" s="12"/>
      <c r="D11" s="12"/>
      <c r="E11" s="12"/>
      <c r="F11" s="12"/>
      <c r="G11" s="10">
        <v>2.0</v>
      </c>
      <c r="H11" s="10">
        <v>2.0</v>
      </c>
      <c r="I11" s="12"/>
      <c r="J11" s="15"/>
      <c r="K11" s="15"/>
      <c r="L11" s="15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4">
        <f t="shared" si="1"/>
        <v>4</v>
      </c>
    </row>
    <row r="12" ht="14.25" customHeight="1">
      <c r="A12" s="10" t="s">
        <v>24</v>
      </c>
      <c r="B12" s="11">
        <v>3.0</v>
      </c>
      <c r="C12" s="12"/>
      <c r="D12" s="12"/>
      <c r="E12" s="12"/>
      <c r="F12" s="12"/>
      <c r="G12" s="12"/>
      <c r="H12" s="10">
        <v>1.0</v>
      </c>
      <c r="I12" s="10">
        <v>2.0</v>
      </c>
      <c r="J12" s="15"/>
      <c r="K12" s="15"/>
      <c r="L12" s="15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4">
        <f t="shared" si="1"/>
        <v>3</v>
      </c>
    </row>
    <row r="13" ht="14.25" customHeight="1">
      <c r="A13" s="12"/>
      <c r="B13" s="16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4">
        <f t="shared" si="1"/>
        <v>0</v>
      </c>
    </row>
    <row r="14" ht="14.25" customHeight="1">
      <c r="A14" s="12"/>
      <c r="B14" s="1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4">
        <f t="shared" si="1"/>
        <v>0</v>
      </c>
    </row>
    <row r="15" ht="14.25" customHeight="1">
      <c r="A15" s="12"/>
      <c r="B15" s="1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4">
        <f t="shared" si="1"/>
        <v>0</v>
      </c>
    </row>
    <row r="16" ht="14.25" customHeight="1">
      <c r="A16" s="12"/>
      <c r="B16" s="1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4">
        <f t="shared" si="1"/>
        <v>0</v>
      </c>
    </row>
    <row r="17" ht="14.25" customHeight="1">
      <c r="A17" s="12"/>
      <c r="B17" s="16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4">
        <f t="shared" si="1"/>
        <v>0</v>
      </c>
    </row>
    <row r="18" ht="14.25" customHeight="1">
      <c r="A18" s="12"/>
      <c r="B18" s="1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4">
        <f t="shared" si="1"/>
        <v>0</v>
      </c>
    </row>
    <row r="19" ht="14.25" customHeight="1">
      <c r="A19" s="12"/>
      <c r="B19" s="1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4">
        <f t="shared" si="1"/>
        <v>0</v>
      </c>
    </row>
    <row r="20" ht="14.25" customHeight="1">
      <c r="A20" s="12"/>
      <c r="B20" s="1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4">
        <f t="shared" si="1"/>
        <v>0</v>
      </c>
    </row>
    <row r="21" ht="14.25" customHeight="1">
      <c r="A21" s="12"/>
      <c r="B21" s="1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4">
        <f t="shared" si="1"/>
        <v>0</v>
      </c>
    </row>
    <row r="22" ht="14.25" customHeight="1">
      <c r="A22" s="12"/>
      <c r="B22" s="1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4">
        <f t="shared" si="1"/>
        <v>0</v>
      </c>
    </row>
    <row r="23" ht="14.25" customHeight="1">
      <c r="A23" s="12"/>
      <c r="B23" s="1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4"/>
    </row>
    <row r="24" ht="14.25" customHeight="1">
      <c r="A24" s="12"/>
      <c r="B24" s="1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7">
        <f>SUM(C24:V24)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>
        <f>V26-SUM(V5:V24)</f>
        <v>0</v>
      </c>
    </row>
    <row r="27" ht="14.25" customHeight="1">
      <c r="A27" s="19" t="s">
        <v>14</v>
      </c>
      <c r="B27" s="2">
        <f>SUM(W2:W22)</f>
        <v>32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>
        <f>V28-(SUM($B$5:$B$24)/20)</f>
        <v>-1.6</v>
      </c>
    </row>
    <row r="29" ht="14.25" customHeight="1">
      <c r="A29" s="19" t="s">
        <v>15</v>
      </c>
      <c r="B29" s="2">
        <f>SUM(B4:B24)</f>
        <v>32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2"/>
      <c r="B30" s="2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2"/>
      <c r="B31" s="21"/>
      <c r="C31" s="2"/>
      <c r="D31" s="2"/>
      <c r="E31" s="2"/>
      <c r="F31" s="2"/>
      <c r="G31" s="2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2"/>
      <c r="B32" s="21"/>
      <c r="C32" s="2"/>
      <c r="D32" s="2"/>
      <c r="E32" s="2"/>
      <c r="F32" s="2"/>
      <c r="G32" s="2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2"/>
      <c r="B33" s="21"/>
      <c r="C33" s="2"/>
      <c r="D33" s="2"/>
      <c r="E33" s="2"/>
      <c r="F33" s="2"/>
      <c r="G33" s="21"/>
      <c r="H33" s="2"/>
      <c r="I33" s="2"/>
    </row>
    <row r="34" ht="14.25" customHeight="1">
      <c r="A34" s="2"/>
      <c r="B34" s="21"/>
      <c r="C34" s="2"/>
      <c r="D34" s="2"/>
      <c r="E34" s="2"/>
      <c r="F34" s="2"/>
      <c r="G34" s="21"/>
      <c r="H34" s="2"/>
      <c r="I34" s="2"/>
    </row>
    <row r="35" ht="14.25" customHeight="1">
      <c r="A35" s="2"/>
      <c r="B35" s="21"/>
      <c r="C35" s="2"/>
      <c r="D35" s="2"/>
      <c r="E35" s="2"/>
      <c r="F35" s="2"/>
      <c r="G35" s="21"/>
      <c r="H35" s="2"/>
      <c r="I35" s="2"/>
    </row>
    <row r="36" ht="14.25" customHeight="1">
      <c r="A36" s="2"/>
      <c r="B36" s="21"/>
      <c r="C36" s="2"/>
      <c r="D36" s="2"/>
      <c r="E36" s="2"/>
      <c r="F36" s="2"/>
      <c r="G36" s="21"/>
      <c r="H36" s="2"/>
      <c r="I36" s="2"/>
    </row>
    <row r="37" ht="14.25" customHeight="1">
      <c r="A37" s="2"/>
      <c r="B37" s="21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21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21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22" width="3.43"/>
    <col customWidth="1" min="23" max="29" width="10.71"/>
  </cols>
  <sheetData>
    <row r="1" ht="32.25" customHeight="1">
      <c r="A1" s="22" t="s">
        <v>25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 ht="14.25" customHeight="1">
      <c r="A5" s="12" t="s">
        <v>26</v>
      </c>
      <c r="B5" s="11">
        <v>4.0</v>
      </c>
      <c r="C5" s="10">
        <v>4.0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>
        <f t="shared" ref="W5:W20" si="1">SUM(C5:V5)</f>
        <v>4</v>
      </c>
    </row>
    <row r="6" ht="14.25" customHeight="1">
      <c r="A6" s="12" t="s">
        <v>27</v>
      </c>
      <c r="B6" s="11">
        <v>3.0</v>
      </c>
      <c r="C6" s="12"/>
      <c r="D6" s="10">
        <v>3.0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4">
        <f t="shared" si="1"/>
        <v>3</v>
      </c>
    </row>
    <row r="7" ht="14.25" customHeight="1">
      <c r="A7" s="12" t="s">
        <v>28</v>
      </c>
      <c r="B7" s="11">
        <v>6.0</v>
      </c>
      <c r="C7" s="12"/>
      <c r="D7" s="10">
        <v>2.0</v>
      </c>
      <c r="E7" s="10">
        <v>2.0</v>
      </c>
      <c r="F7" s="10">
        <v>2.0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4">
        <f t="shared" si="1"/>
        <v>6</v>
      </c>
    </row>
    <row r="8" ht="14.25" customHeight="1">
      <c r="A8" s="12" t="s">
        <v>29</v>
      </c>
      <c r="B8" s="11">
        <v>5.0</v>
      </c>
      <c r="C8" s="12"/>
      <c r="D8" s="12"/>
      <c r="E8" s="12"/>
      <c r="F8" s="10">
        <v>3.0</v>
      </c>
      <c r="G8" s="10">
        <v>2.0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4">
        <f t="shared" si="1"/>
        <v>5</v>
      </c>
    </row>
    <row r="9" ht="14.25" customHeight="1">
      <c r="A9" s="12" t="s">
        <v>30</v>
      </c>
      <c r="B9" s="11">
        <v>3.0</v>
      </c>
      <c r="C9" s="12"/>
      <c r="D9" s="12"/>
      <c r="E9" s="12"/>
      <c r="F9" s="12"/>
      <c r="G9" s="10">
        <v>1.0</v>
      </c>
      <c r="H9" s="10">
        <v>2.0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4">
        <f t="shared" si="1"/>
        <v>3</v>
      </c>
    </row>
    <row r="10" ht="14.25" customHeight="1">
      <c r="A10" s="10" t="s">
        <v>31</v>
      </c>
      <c r="B10" s="11">
        <v>3.0</v>
      </c>
      <c r="C10" s="12"/>
      <c r="D10" s="12"/>
      <c r="E10" s="12"/>
      <c r="F10" s="12"/>
      <c r="G10" s="12"/>
      <c r="H10" s="10">
        <v>3.0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4">
        <f t="shared" si="1"/>
        <v>3</v>
      </c>
    </row>
    <row r="11" ht="14.25" customHeight="1">
      <c r="A11" s="10" t="s">
        <v>32</v>
      </c>
      <c r="B11" s="11">
        <v>3.0</v>
      </c>
      <c r="C11" s="12"/>
      <c r="D11" s="12"/>
      <c r="E11" s="12"/>
      <c r="F11" s="12"/>
      <c r="G11" s="12"/>
      <c r="H11" s="12"/>
      <c r="I11" s="10">
        <v>3.0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4">
        <f t="shared" si="1"/>
        <v>3</v>
      </c>
    </row>
    <row r="12" ht="14.25" customHeight="1">
      <c r="A12" s="10" t="s">
        <v>33</v>
      </c>
      <c r="B12" s="11">
        <v>3.0</v>
      </c>
      <c r="C12" s="12"/>
      <c r="D12" s="12"/>
      <c r="E12" s="12"/>
      <c r="F12" s="12"/>
      <c r="G12" s="12"/>
      <c r="H12" s="12"/>
      <c r="I12" s="10">
        <v>1.0</v>
      </c>
      <c r="J12" s="10">
        <v>2.0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4">
        <f t="shared" si="1"/>
        <v>3</v>
      </c>
    </row>
    <row r="13" ht="14.25" customHeight="1">
      <c r="A13" s="10" t="s">
        <v>34</v>
      </c>
      <c r="B13" s="11">
        <v>2.0</v>
      </c>
      <c r="C13" s="12"/>
      <c r="D13" s="12"/>
      <c r="E13" s="12"/>
      <c r="F13" s="12"/>
      <c r="G13" s="12"/>
      <c r="H13" s="12"/>
      <c r="I13" s="12"/>
      <c r="J13" s="10">
        <v>2.0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4">
        <f t="shared" si="1"/>
        <v>2</v>
      </c>
    </row>
    <row r="14" ht="14.25" customHeight="1">
      <c r="A14" s="10" t="s">
        <v>35</v>
      </c>
      <c r="B14" s="11">
        <v>3.0</v>
      </c>
      <c r="C14" s="12"/>
      <c r="D14" s="12"/>
      <c r="E14" s="12"/>
      <c r="F14" s="12"/>
      <c r="G14" s="12"/>
      <c r="H14" s="12"/>
      <c r="I14" s="12"/>
      <c r="J14" s="12"/>
      <c r="K14" s="10">
        <v>3.0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4">
        <f t="shared" si="1"/>
        <v>3</v>
      </c>
    </row>
    <row r="15" ht="14.25" customHeight="1">
      <c r="A15" s="10" t="s">
        <v>36</v>
      </c>
      <c r="B15" s="11">
        <v>5.0</v>
      </c>
      <c r="C15" s="12"/>
      <c r="D15" s="12"/>
      <c r="E15" s="12"/>
      <c r="F15" s="12"/>
      <c r="G15" s="12"/>
      <c r="H15" s="12"/>
      <c r="I15" s="12"/>
      <c r="J15" s="12"/>
      <c r="K15" s="10">
        <v>1.0</v>
      </c>
      <c r="L15" s="10">
        <v>2.0</v>
      </c>
      <c r="M15" s="10">
        <v>2.0</v>
      </c>
      <c r="N15" s="12"/>
      <c r="O15" s="12"/>
      <c r="P15" s="12"/>
      <c r="Q15" s="12"/>
      <c r="R15" s="12"/>
      <c r="S15" s="12"/>
      <c r="T15" s="12"/>
      <c r="U15" s="12"/>
      <c r="V15" s="12"/>
      <c r="W15" s="14">
        <f t="shared" si="1"/>
        <v>5</v>
      </c>
    </row>
    <row r="16" ht="14.25" customHeight="1">
      <c r="A16" s="10" t="s">
        <v>37</v>
      </c>
      <c r="B16" s="11">
        <v>4.0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0">
        <v>2.0</v>
      </c>
      <c r="N16" s="10">
        <v>2.0</v>
      </c>
      <c r="O16" s="12"/>
      <c r="P16" s="12"/>
      <c r="Q16" s="12"/>
      <c r="R16" s="12"/>
      <c r="S16" s="12"/>
      <c r="T16" s="12"/>
      <c r="U16" s="12"/>
      <c r="V16" s="12"/>
      <c r="W16" s="14">
        <f t="shared" si="1"/>
        <v>4</v>
      </c>
    </row>
    <row r="17" ht="14.25" customHeight="1">
      <c r="A17" s="10" t="s">
        <v>38</v>
      </c>
      <c r="B17" s="11">
        <v>2.0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0">
        <v>2.0</v>
      </c>
      <c r="O17" s="12"/>
      <c r="P17" s="12"/>
      <c r="Q17" s="12"/>
      <c r="R17" s="12"/>
      <c r="S17" s="12"/>
      <c r="T17" s="12"/>
      <c r="U17" s="12"/>
      <c r="V17" s="12"/>
      <c r="W17" s="14">
        <f t="shared" si="1"/>
        <v>2</v>
      </c>
    </row>
    <row r="18" ht="14.25" customHeight="1">
      <c r="A18" s="10" t="s">
        <v>39</v>
      </c>
      <c r="B18" s="11">
        <v>3.0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0">
        <v>1.0</v>
      </c>
      <c r="O18" s="10">
        <v>2.0</v>
      </c>
      <c r="P18" s="12"/>
      <c r="Q18" s="12"/>
      <c r="R18" s="12"/>
      <c r="S18" s="12"/>
      <c r="T18" s="12"/>
      <c r="U18" s="12"/>
      <c r="V18" s="12"/>
      <c r="W18" s="14">
        <f t="shared" si="1"/>
        <v>3</v>
      </c>
    </row>
    <row r="19" ht="14.25" customHeight="1">
      <c r="A19" s="12"/>
      <c r="B19" s="1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4">
        <f t="shared" si="1"/>
        <v>0</v>
      </c>
    </row>
    <row r="20" ht="14.25" customHeight="1">
      <c r="A20" s="12"/>
      <c r="B20" s="1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4">
        <f t="shared" si="1"/>
        <v>0</v>
      </c>
    </row>
    <row r="21" ht="14.25" customHeight="1">
      <c r="A21" s="12"/>
      <c r="B21" s="1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4"/>
    </row>
    <row r="22" ht="14.25" customHeight="1">
      <c r="A22" s="12"/>
      <c r="B22" s="1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7">
        <f>SUM(C22:V22)</f>
        <v>0</v>
      </c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4.25" customHeight="1">
      <c r="A24" s="2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>
        <f>V24-SUM(V5:V22)</f>
        <v>0</v>
      </c>
    </row>
    <row r="25" ht="14.25" customHeight="1">
      <c r="A25" s="19" t="s">
        <v>14</v>
      </c>
      <c r="B25" s="2">
        <f>SUM(W2:W20)</f>
        <v>49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>
        <f>V26-(SUM($B$5:$B$22)/20)</f>
        <v>-2.45</v>
      </c>
    </row>
    <row r="27" ht="14.25" customHeight="1">
      <c r="A27" s="19" t="s">
        <v>15</v>
      </c>
      <c r="B27" s="2">
        <f>SUM(B4:B22)</f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2"/>
      <c r="B28" s="2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4.25" customHeight="1">
      <c r="A29" s="2"/>
      <c r="B29" s="21"/>
      <c r="C29" s="2"/>
      <c r="D29" s="2"/>
      <c r="E29" s="2"/>
      <c r="F29" s="2"/>
      <c r="G29" s="2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2"/>
      <c r="B30" s="21"/>
      <c r="C30" s="2"/>
      <c r="D30" s="2"/>
      <c r="E30" s="2"/>
      <c r="F30" s="2"/>
      <c r="G30" s="2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2"/>
      <c r="B31" s="21"/>
      <c r="C31" s="2"/>
      <c r="D31" s="2"/>
      <c r="E31" s="2"/>
      <c r="F31" s="2"/>
      <c r="G31" s="21"/>
      <c r="H31" s="2"/>
      <c r="I31" s="2"/>
    </row>
    <row r="32" ht="14.25" customHeight="1">
      <c r="A32" s="2"/>
      <c r="B32" s="21"/>
      <c r="C32" s="2"/>
      <c r="D32" s="2"/>
      <c r="E32" s="2"/>
      <c r="F32" s="2"/>
      <c r="G32" s="21"/>
      <c r="H32" s="2"/>
      <c r="I32" s="2"/>
    </row>
    <row r="33" ht="14.25" customHeight="1">
      <c r="A33" s="2"/>
      <c r="B33" s="21"/>
      <c r="C33" s="2"/>
      <c r="D33" s="2"/>
      <c r="E33" s="2"/>
      <c r="F33" s="2"/>
      <c r="G33" s="21"/>
      <c r="H33" s="2"/>
      <c r="I33" s="2"/>
    </row>
    <row r="34" ht="14.25" customHeight="1">
      <c r="A34" s="2"/>
      <c r="B34" s="21"/>
      <c r="C34" s="2"/>
      <c r="D34" s="2"/>
      <c r="E34" s="2"/>
      <c r="F34" s="2"/>
      <c r="G34" s="21"/>
      <c r="H34" s="2"/>
      <c r="I34" s="2"/>
    </row>
    <row r="35" ht="14.25" customHeight="1">
      <c r="A35" s="2"/>
      <c r="B35" s="21"/>
      <c r="C35" s="2"/>
      <c r="D35" s="2"/>
      <c r="E35" s="2"/>
      <c r="F35" s="2"/>
      <c r="G35" s="2"/>
      <c r="H35" s="2"/>
      <c r="I35" s="2"/>
    </row>
    <row r="36" ht="14.25" customHeight="1">
      <c r="A36" s="2"/>
      <c r="B36" s="21"/>
      <c r="C36" s="2"/>
      <c r="D36" s="2"/>
      <c r="E36" s="2"/>
      <c r="F36" s="2"/>
      <c r="G36" s="2"/>
      <c r="H36" s="2"/>
      <c r="I36" s="2"/>
    </row>
    <row r="37" ht="14.25" customHeight="1">
      <c r="A37" s="2"/>
      <c r="B37" s="21"/>
      <c r="C37" s="2"/>
      <c r="D37" s="2"/>
      <c r="E37" s="2"/>
      <c r="F37" s="2"/>
      <c r="G37" s="2"/>
      <c r="H37" s="2"/>
      <c r="I37" s="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22" width="3.43"/>
    <col customWidth="1" min="23" max="29" width="10.71"/>
  </cols>
  <sheetData>
    <row r="1" ht="32.25" customHeight="1">
      <c r="A1" s="22" t="s">
        <v>40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 ht="14.25" customHeight="1">
      <c r="A5" s="10" t="s">
        <v>41</v>
      </c>
      <c r="B5" s="11">
        <v>4.0</v>
      </c>
      <c r="C5" s="10">
        <v>3.0</v>
      </c>
      <c r="D5" s="10">
        <v>1.0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>
        <f t="shared" ref="W5:W22" si="1">SUM(C5:V5)</f>
        <v>4</v>
      </c>
    </row>
    <row r="6" ht="14.25" customHeight="1">
      <c r="A6" s="10" t="s">
        <v>42</v>
      </c>
      <c r="B6" s="11">
        <v>3.0</v>
      </c>
      <c r="C6" s="12"/>
      <c r="D6" s="10">
        <v>3.0</v>
      </c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4">
        <f t="shared" si="1"/>
        <v>3</v>
      </c>
    </row>
    <row r="7" ht="14.25" customHeight="1">
      <c r="A7" s="10" t="s">
        <v>43</v>
      </c>
      <c r="B7" s="11">
        <v>5.0</v>
      </c>
      <c r="C7" s="12"/>
      <c r="D7" s="10">
        <v>1.0</v>
      </c>
      <c r="E7" s="10">
        <v>3.0</v>
      </c>
      <c r="F7" s="10">
        <v>1.0</v>
      </c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4">
        <f t="shared" si="1"/>
        <v>5</v>
      </c>
    </row>
    <row r="8" ht="14.25" customHeight="1">
      <c r="A8" s="10" t="s">
        <v>44</v>
      </c>
      <c r="B8" s="11">
        <v>4.0</v>
      </c>
      <c r="C8" s="12"/>
      <c r="D8" s="12"/>
      <c r="E8" s="10">
        <v>1.0</v>
      </c>
      <c r="F8" s="10">
        <v>2.0</v>
      </c>
      <c r="G8" s="10">
        <v>1.0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4">
        <f t="shared" si="1"/>
        <v>4</v>
      </c>
    </row>
    <row r="9" ht="14.25" customHeight="1">
      <c r="A9" s="10" t="s">
        <v>45</v>
      </c>
      <c r="B9" s="11">
        <v>2.0</v>
      </c>
      <c r="C9" s="12"/>
      <c r="D9" s="12"/>
      <c r="E9" s="12"/>
      <c r="F9" s="12"/>
      <c r="G9" s="10">
        <v>2.0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4">
        <f t="shared" si="1"/>
        <v>2</v>
      </c>
    </row>
    <row r="10" ht="14.25" customHeight="1">
      <c r="A10" s="10" t="s">
        <v>46</v>
      </c>
      <c r="B10" s="11">
        <v>3.0</v>
      </c>
      <c r="C10" s="12"/>
      <c r="D10" s="12"/>
      <c r="E10" s="12"/>
      <c r="F10" s="12"/>
      <c r="G10" s="10">
        <v>3.0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4">
        <f t="shared" si="1"/>
        <v>3</v>
      </c>
    </row>
    <row r="11" ht="14.25" customHeight="1">
      <c r="A11" s="10" t="s">
        <v>47</v>
      </c>
      <c r="B11" s="11">
        <v>3.0</v>
      </c>
      <c r="C11" s="12"/>
      <c r="D11" s="12"/>
      <c r="E11" s="12"/>
      <c r="F11" s="12"/>
      <c r="G11" s="12"/>
      <c r="H11" s="10">
        <v>2.0</v>
      </c>
      <c r="I11" s="10">
        <v>1.0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4">
        <f t="shared" si="1"/>
        <v>3</v>
      </c>
    </row>
    <row r="12" ht="14.25" customHeight="1">
      <c r="A12" s="10" t="s">
        <v>48</v>
      </c>
      <c r="B12" s="11">
        <v>3.0</v>
      </c>
      <c r="C12" s="12"/>
      <c r="D12" s="12"/>
      <c r="E12" s="12"/>
      <c r="F12" s="12"/>
      <c r="G12" s="12"/>
      <c r="H12" s="12"/>
      <c r="I12" s="10">
        <v>3.0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4">
        <f t="shared" si="1"/>
        <v>3</v>
      </c>
    </row>
    <row r="13" ht="14.25" customHeight="1">
      <c r="A13" s="10" t="s">
        <v>49</v>
      </c>
      <c r="B13" s="11">
        <v>2.0</v>
      </c>
      <c r="C13" s="12"/>
      <c r="D13" s="12"/>
      <c r="E13" s="12"/>
      <c r="F13" s="12"/>
      <c r="G13" s="12"/>
      <c r="H13" s="12"/>
      <c r="I13" s="10">
        <v>2.0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4">
        <f t="shared" si="1"/>
        <v>2</v>
      </c>
    </row>
    <row r="14" ht="14.25" customHeight="1">
      <c r="A14" s="10" t="s">
        <v>50</v>
      </c>
      <c r="B14" s="11">
        <v>2.0</v>
      </c>
      <c r="C14" s="12"/>
      <c r="D14" s="12"/>
      <c r="E14" s="12"/>
      <c r="F14" s="12"/>
      <c r="G14" s="12"/>
      <c r="H14" s="12"/>
      <c r="I14" s="12"/>
      <c r="J14" s="10">
        <v>2.0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4">
        <f t="shared" si="1"/>
        <v>2</v>
      </c>
    </row>
    <row r="15" ht="14.25" customHeight="1">
      <c r="A15" s="10" t="s">
        <v>51</v>
      </c>
      <c r="B15" s="11">
        <v>3.0</v>
      </c>
      <c r="C15" s="12"/>
      <c r="D15" s="12"/>
      <c r="E15" s="12"/>
      <c r="F15" s="12"/>
      <c r="G15" s="12"/>
      <c r="H15" s="12"/>
      <c r="I15" s="12"/>
      <c r="J15" s="12"/>
      <c r="K15" s="10">
        <v>3.0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4">
        <f t="shared" si="1"/>
        <v>3</v>
      </c>
    </row>
    <row r="16" ht="14.25" customHeight="1">
      <c r="A16" s="10" t="s">
        <v>52</v>
      </c>
      <c r="B16" s="11">
        <v>3.0</v>
      </c>
      <c r="C16" s="12"/>
      <c r="D16" s="12"/>
      <c r="E16" s="12"/>
      <c r="F16" s="12"/>
      <c r="G16" s="12"/>
      <c r="H16" s="12"/>
      <c r="I16" s="12"/>
      <c r="J16" s="12"/>
      <c r="K16" s="10">
        <v>1.0</v>
      </c>
      <c r="L16" s="10">
        <v>2.0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4">
        <f t="shared" si="1"/>
        <v>3</v>
      </c>
    </row>
    <row r="17" ht="14.25" customHeight="1">
      <c r="A17" s="10" t="s">
        <v>53</v>
      </c>
      <c r="B17" s="11">
        <v>2.0</v>
      </c>
      <c r="C17" s="12"/>
      <c r="D17" s="12"/>
      <c r="E17" s="12"/>
      <c r="F17" s="12"/>
      <c r="G17" s="12"/>
      <c r="H17" s="12"/>
      <c r="I17" s="12"/>
      <c r="J17" s="12"/>
      <c r="K17" s="12"/>
      <c r="L17" s="10">
        <v>2.0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4">
        <f t="shared" si="1"/>
        <v>2</v>
      </c>
    </row>
    <row r="18" ht="14.25" customHeight="1">
      <c r="A18" s="10" t="s">
        <v>54</v>
      </c>
      <c r="B18" s="11">
        <v>2.0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0">
        <v>2.0</v>
      </c>
      <c r="N18" s="12"/>
      <c r="O18" s="12"/>
      <c r="P18" s="12"/>
      <c r="Q18" s="12"/>
      <c r="R18" s="12"/>
      <c r="S18" s="12"/>
      <c r="T18" s="12"/>
      <c r="U18" s="12"/>
      <c r="V18" s="12"/>
      <c r="W18" s="14">
        <f t="shared" si="1"/>
        <v>2</v>
      </c>
    </row>
    <row r="19" ht="14.25" customHeight="1">
      <c r="A19" s="10" t="s">
        <v>55</v>
      </c>
      <c r="B19" s="11">
        <v>4.0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0">
        <v>3.0</v>
      </c>
      <c r="N19" s="10">
        <v>1.0</v>
      </c>
      <c r="O19" s="12"/>
      <c r="P19" s="12"/>
      <c r="Q19" s="12"/>
      <c r="R19" s="12"/>
      <c r="S19" s="12"/>
      <c r="T19" s="12"/>
      <c r="U19" s="12"/>
      <c r="V19" s="12"/>
      <c r="W19" s="14">
        <f t="shared" si="1"/>
        <v>4</v>
      </c>
    </row>
    <row r="20" ht="14.25" customHeight="1">
      <c r="A20" s="10" t="s">
        <v>56</v>
      </c>
      <c r="B20" s="11">
        <v>5.0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0">
        <v>3.0</v>
      </c>
      <c r="O20" s="10">
        <v>2.0</v>
      </c>
      <c r="P20" s="12"/>
      <c r="Q20" s="12"/>
      <c r="R20" s="12"/>
      <c r="S20" s="12"/>
      <c r="T20" s="12"/>
      <c r="U20" s="12"/>
      <c r="V20" s="12"/>
      <c r="W20" s="14">
        <f t="shared" si="1"/>
        <v>5</v>
      </c>
    </row>
    <row r="21" ht="14.25" customHeight="1">
      <c r="A21" s="10" t="s">
        <v>57</v>
      </c>
      <c r="B21" s="11">
        <v>2.0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0">
        <v>2.0</v>
      </c>
      <c r="P21" s="12"/>
      <c r="Q21" s="12"/>
      <c r="R21" s="12"/>
      <c r="S21" s="12"/>
      <c r="T21" s="12"/>
      <c r="U21" s="12"/>
      <c r="V21" s="12"/>
      <c r="W21" s="14">
        <f t="shared" si="1"/>
        <v>2</v>
      </c>
    </row>
    <row r="22" ht="14.25" customHeight="1">
      <c r="A22" s="12"/>
      <c r="B22" s="1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4">
        <f t="shared" si="1"/>
        <v>0</v>
      </c>
    </row>
    <row r="23" ht="14.25" customHeight="1">
      <c r="A23" s="12"/>
      <c r="B23" s="1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4"/>
    </row>
    <row r="24" ht="14.25" customHeight="1">
      <c r="A24" s="12"/>
      <c r="B24" s="1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7">
        <f>SUM(C24:V24)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>
        <f>V26-SUM(V5:V24)</f>
        <v>0</v>
      </c>
    </row>
    <row r="27" ht="14.25" customHeight="1">
      <c r="A27" s="19" t="s">
        <v>14</v>
      </c>
      <c r="B27" s="2">
        <f>SUM(W2:W22)</f>
        <v>52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>
        <f>V28-(SUM($B$5:$B$24)/20)</f>
        <v>-2.6</v>
      </c>
    </row>
    <row r="29" ht="14.25" customHeight="1">
      <c r="A29" s="19" t="s">
        <v>15</v>
      </c>
      <c r="B29" s="2">
        <f>SUM(B4:B24)</f>
        <v>52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2"/>
      <c r="B30" s="2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2"/>
      <c r="B31" s="21"/>
      <c r="C31" s="2"/>
      <c r="D31" s="2"/>
      <c r="E31" s="2"/>
      <c r="F31" s="2"/>
      <c r="G31" s="2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2"/>
      <c r="B32" s="21"/>
      <c r="C32" s="2"/>
      <c r="D32" s="2"/>
      <c r="E32" s="2"/>
      <c r="F32" s="2"/>
      <c r="G32" s="2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2"/>
      <c r="B33" s="21"/>
      <c r="C33" s="2"/>
      <c r="D33" s="2"/>
      <c r="E33" s="2"/>
      <c r="F33" s="2"/>
      <c r="G33" s="21"/>
      <c r="H33" s="2"/>
      <c r="I33" s="2"/>
    </row>
    <row r="34" ht="14.25" customHeight="1">
      <c r="A34" s="2"/>
      <c r="B34" s="21"/>
      <c r="C34" s="2"/>
      <c r="D34" s="2"/>
      <c r="E34" s="2"/>
      <c r="F34" s="2"/>
      <c r="G34" s="21"/>
      <c r="H34" s="2"/>
      <c r="I34" s="2"/>
    </row>
    <row r="35" ht="14.25" customHeight="1">
      <c r="A35" s="2"/>
      <c r="B35" s="21"/>
      <c r="C35" s="2"/>
      <c r="D35" s="2"/>
      <c r="E35" s="2"/>
      <c r="F35" s="2"/>
      <c r="G35" s="21"/>
      <c r="H35" s="2"/>
      <c r="I35" s="2"/>
    </row>
    <row r="36" ht="14.25" customHeight="1">
      <c r="A36" s="2"/>
      <c r="B36" s="21"/>
      <c r="C36" s="2"/>
      <c r="D36" s="2"/>
      <c r="E36" s="2"/>
      <c r="F36" s="2"/>
      <c r="G36" s="21"/>
      <c r="H36" s="2"/>
      <c r="I36" s="2"/>
    </row>
    <row r="37" ht="14.25" customHeight="1">
      <c r="A37" s="2"/>
      <c r="B37" s="21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21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21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29"/>
    <col customWidth="1" min="2" max="2" width="17.0"/>
    <col customWidth="1" min="3" max="3" width="4.0"/>
    <col customWidth="1" min="4" max="22" width="3.43"/>
    <col customWidth="1" min="23" max="29" width="10.71"/>
  </cols>
  <sheetData>
    <row r="1" ht="32.25" customHeight="1">
      <c r="A1" s="22" t="s">
        <v>58</v>
      </c>
      <c r="B1" s="2"/>
      <c r="C1" s="2"/>
      <c r="D1" s="2"/>
      <c r="E1" s="2"/>
      <c r="F1" s="2"/>
      <c r="G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9"/>
    </row>
    <row r="5" ht="14.25" customHeight="1">
      <c r="A5" s="10" t="s">
        <v>59</v>
      </c>
      <c r="B5" s="11">
        <v>4.0</v>
      </c>
      <c r="C5" s="10">
        <v>3.0</v>
      </c>
      <c r="D5" s="10">
        <v>1.0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>
        <f t="shared" ref="W5:W22" si="1">SUM(C5:V5)</f>
        <v>4</v>
      </c>
    </row>
    <row r="6" ht="14.25" customHeight="1">
      <c r="A6" s="10" t="s">
        <v>60</v>
      </c>
      <c r="B6" s="11">
        <v>6.0</v>
      </c>
      <c r="C6" s="12"/>
      <c r="D6" s="10">
        <v>3.0</v>
      </c>
      <c r="E6" s="10">
        <v>3.0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4">
        <f t="shared" si="1"/>
        <v>6</v>
      </c>
    </row>
    <row r="7" ht="14.25" customHeight="1">
      <c r="A7" s="10" t="s">
        <v>61</v>
      </c>
      <c r="B7" s="11">
        <v>5.0</v>
      </c>
      <c r="C7" s="12"/>
      <c r="D7" s="12"/>
      <c r="E7" s="10">
        <v>2.0</v>
      </c>
      <c r="F7" s="10">
        <v>2.0</v>
      </c>
      <c r="G7" s="10">
        <v>1.0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4">
        <f t="shared" si="1"/>
        <v>5</v>
      </c>
    </row>
    <row r="8" ht="14.25" customHeight="1">
      <c r="A8" s="10" t="s">
        <v>62</v>
      </c>
      <c r="B8" s="11">
        <v>3.0</v>
      </c>
      <c r="C8" s="12"/>
      <c r="D8" s="12"/>
      <c r="E8" s="12"/>
      <c r="F8" s="12"/>
      <c r="G8" s="10">
        <v>3.0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4">
        <f t="shared" si="1"/>
        <v>3</v>
      </c>
    </row>
    <row r="9" ht="14.25" customHeight="1">
      <c r="A9" s="10" t="s">
        <v>63</v>
      </c>
      <c r="B9" s="11">
        <v>3.0</v>
      </c>
      <c r="C9" s="12"/>
      <c r="D9" s="12"/>
      <c r="E9" s="12"/>
      <c r="F9" s="12"/>
      <c r="G9" s="10">
        <v>2.0</v>
      </c>
      <c r="H9" s="10">
        <v>1.0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4">
        <f t="shared" si="1"/>
        <v>3</v>
      </c>
    </row>
    <row r="10" ht="14.25" customHeight="1">
      <c r="A10" s="10" t="s">
        <v>64</v>
      </c>
      <c r="B10" s="11">
        <v>3.0</v>
      </c>
      <c r="C10" s="12"/>
      <c r="D10" s="12"/>
      <c r="E10" s="12"/>
      <c r="F10" s="12"/>
      <c r="G10" s="12"/>
      <c r="H10" s="10">
        <v>2.0</v>
      </c>
      <c r="I10" s="10">
        <v>1.0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4">
        <f t="shared" si="1"/>
        <v>3</v>
      </c>
    </row>
    <row r="11" ht="14.25" customHeight="1">
      <c r="A11" s="10" t="s">
        <v>65</v>
      </c>
      <c r="B11" s="11">
        <v>4.0</v>
      </c>
      <c r="C11" s="12"/>
      <c r="D11" s="12"/>
      <c r="E11" s="12"/>
      <c r="F11" s="12"/>
      <c r="G11" s="12"/>
      <c r="H11" s="12"/>
      <c r="I11" s="10">
        <v>3.0</v>
      </c>
      <c r="J11" s="10">
        <v>1.0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4">
        <f t="shared" si="1"/>
        <v>4</v>
      </c>
    </row>
    <row r="12" ht="14.25" customHeight="1">
      <c r="A12" s="10" t="s">
        <v>66</v>
      </c>
      <c r="B12" s="11">
        <v>3.0</v>
      </c>
      <c r="C12" s="12"/>
      <c r="D12" s="12"/>
      <c r="E12" s="12"/>
      <c r="F12" s="12"/>
      <c r="G12" s="12"/>
      <c r="H12" s="12"/>
      <c r="I12" s="12"/>
      <c r="J12" s="10">
        <v>3.0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4">
        <f t="shared" si="1"/>
        <v>3</v>
      </c>
    </row>
    <row r="13" ht="14.25" customHeight="1">
      <c r="A13" s="10" t="s">
        <v>67</v>
      </c>
      <c r="B13" s="11">
        <v>3.0</v>
      </c>
      <c r="C13" s="12"/>
      <c r="D13" s="12"/>
      <c r="E13" s="12"/>
      <c r="F13" s="12"/>
      <c r="G13" s="12"/>
      <c r="H13" s="12"/>
      <c r="I13" s="12"/>
      <c r="J13" s="12"/>
      <c r="K13" s="10">
        <v>3.0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4">
        <f t="shared" si="1"/>
        <v>3</v>
      </c>
    </row>
    <row r="14" ht="14.25" customHeight="1">
      <c r="A14" s="12"/>
      <c r="B14" s="16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4">
        <f t="shared" si="1"/>
        <v>0</v>
      </c>
    </row>
    <row r="15" ht="14.25" customHeight="1">
      <c r="A15" s="12"/>
      <c r="B15" s="16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4">
        <f t="shared" si="1"/>
        <v>0</v>
      </c>
    </row>
    <row r="16" ht="14.25" customHeight="1">
      <c r="A16" s="12"/>
      <c r="B16" s="16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4">
        <f t="shared" si="1"/>
        <v>0</v>
      </c>
    </row>
    <row r="17" ht="14.25" customHeight="1">
      <c r="A17" s="12"/>
      <c r="B17" s="16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4">
        <f t="shared" si="1"/>
        <v>0</v>
      </c>
    </row>
    <row r="18" ht="14.25" customHeight="1">
      <c r="A18" s="12"/>
      <c r="B18" s="1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4">
        <f t="shared" si="1"/>
        <v>0</v>
      </c>
    </row>
    <row r="19" ht="14.25" customHeight="1">
      <c r="A19" s="12"/>
      <c r="B19" s="16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4">
        <f t="shared" si="1"/>
        <v>0</v>
      </c>
    </row>
    <row r="20" ht="14.25" customHeight="1">
      <c r="A20" s="12"/>
      <c r="B20" s="16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4">
        <f t="shared" si="1"/>
        <v>0</v>
      </c>
    </row>
    <row r="21" ht="14.25" customHeight="1">
      <c r="A21" s="12"/>
      <c r="B21" s="1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4">
        <f t="shared" si="1"/>
        <v>0</v>
      </c>
    </row>
    <row r="22" ht="14.25" customHeight="1">
      <c r="A22" s="12"/>
      <c r="B22" s="1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4">
        <f t="shared" si="1"/>
        <v>0</v>
      </c>
    </row>
    <row r="23" ht="14.25" customHeight="1">
      <c r="A23" s="12"/>
      <c r="B23" s="1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4"/>
    </row>
    <row r="24" ht="14.25" customHeight="1">
      <c r="A24" s="12"/>
      <c r="B24" s="1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7">
        <f>SUM(C24:V24)</f>
        <v>0</v>
      </c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4.25" customHeight="1">
      <c r="A26" s="2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>
        <f>V26-SUM(V5:V24)</f>
        <v>0</v>
      </c>
    </row>
    <row r="27" ht="14.25" customHeight="1">
      <c r="A27" s="19" t="s">
        <v>14</v>
      </c>
      <c r="B27" s="2">
        <f>SUM(W2:W22)</f>
        <v>34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4.25" customHeight="1">
      <c r="A28" s="2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>
        <f>V28-(SUM($B$5:$B$24)/20)</f>
        <v>-1.7</v>
      </c>
    </row>
    <row r="29" ht="14.25" customHeight="1">
      <c r="A29" s="19" t="s">
        <v>15</v>
      </c>
      <c r="B29" s="2">
        <f>SUM(B4:B24)</f>
        <v>34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4.25" customHeight="1">
      <c r="A30" s="2"/>
      <c r="B30" s="2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4.25" customHeight="1">
      <c r="A31" s="2"/>
      <c r="B31" s="21"/>
      <c r="C31" s="2"/>
      <c r="D31" s="2"/>
      <c r="E31" s="2"/>
      <c r="F31" s="2"/>
      <c r="G31" s="2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4.25" customHeight="1">
      <c r="A32" s="2"/>
      <c r="B32" s="21"/>
      <c r="C32" s="2"/>
      <c r="D32" s="2"/>
      <c r="E32" s="2"/>
      <c r="F32" s="2"/>
      <c r="G32" s="2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4.25" customHeight="1">
      <c r="A33" s="2"/>
      <c r="B33" s="21"/>
      <c r="C33" s="2"/>
      <c r="D33" s="2"/>
      <c r="E33" s="2"/>
      <c r="F33" s="2"/>
      <c r="G33" s="21"/>
      <c r="H33" s="2"/>
      <c r="I33" s="2"/>
    </row>
    <row r="34" ht="14.25" customHeight="1">
      <c r="A34" s="2"/>
      <c r="B34" s="21"/>
      <c r="C34" s="2"/>
      <c r="D34" s="2"/>
      <c r="E34" s="2"/>
      <c r="F34" s="2"/>
      <c r="G34" s="21"/>
      <c r="H34" s="2"/>
      <c r="I34" s="2"/>
    </row>
    <row r="35" ht="14.25" customHeight="1">
      <c r="A35" s="2"/>
      <c r="B35" s="21"/>
      <c r="C35" s="2"/>
      <c r="D35" s="2"/>
      <c r="E35" s="2"/>
      <c r="F35" s="2"/>
      <c r="G35" s="21"/>
      <c r="H35" s="2"/>
      <c r="I35" s="2"/>
    </row>
    <row r="36" ht="14.25" customHeight="1">
      <c r="A36" s="2"/>
      <c r="B36" s="21"/>
      <c r="C36" s="2"/>
      <c r="D36" s="2"/>
      <c r="E36" s="2"/>
      <c r="F36" s="2"/>
      <c r="G36" s="21"/>
      <c r="H36" s="2"/>
      <c r="I36" s="2"/>
    </row>
    <row r="37" ht="14.25" customHeight="1">
      <c r="A37" s="2"/>
      <c r="B37" s="21"/>
      <c r="C37" s="2"/>
      <c r="D37" s="2"/>
      <c r="E37" s="2"/>
      <c r="F37" s="2"/>
      <c r="G37" s="2"/>
      <c r="H37" s="2"/>
      <c r="I37" s="2"/>
    </row>
    <row r="38" ht="14.25" customHeight="1">
      <c r="A38" s="2"/>
      <c r="B38" s="21"/>
      <c r="C38" s="2"/>
      <c r="D38" s="2"/>
      <c r="E38" s="2"/>
      <c r="F38" s="2"/>
      <c r="G38" s="2"/>
      <c r="H38" s="2"/>
      <c r="I38" s="2"/>
    </row>
    <row r="39" ht="14.25" customHeight="1">
      <c r="A39" s="2"/>
      <c r="B39" s="21"/>
      <c r="C39" s="2"/>
      <c r="D39" s="2"/>
      <c r="E39" s="2"/>
      <c r="F39" s="2"/>
      <c r="G39" s="2"/>
      <c r="H39" s="2"/>
      <c r="I39" s="2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